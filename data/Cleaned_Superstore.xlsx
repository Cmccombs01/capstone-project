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aleb\OneDrive\Documents\Data Projects and ideas\"/>
    </mc:Choice>
  </mc:AlternateContent>
  <xr:revisionPtr revIDLastSave="0" documentId="8_{67236D61-FFFD-4542-8FCD-97594918FFDB}" xr6:coauthVersionLast="47" xr6:coauthVersionMax="47" xr10:uidLastSave="{00000000-0000-0000-0000-000000000000}"/>
  <bookViews>
    <workbookView xWindow="-96" yWindow="0" windowWidth="11712" windowHeight="13056" activeTab="1" xr2:uid="{00000000-000D-0000-FFFF-FFFF00000000}"/>
  </bookViews>
  <sheets>
    <sheet name="Summary Statistics" sheetId="3" r:id="rId1"/>
    <sheet name="Superstore" sheetId="1" r:id="rId2"/>
  </sheets>
  <definedNames>
    <definedName name="_xlnm._FilterDatabase" localSheetId="1" hidden="1">Superstore!$A$1:$R$1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K2" i="1"/>
  <c r="L2" i="1"/>
  <c r="M2" i="1"/>
  <c r="N2" i="1"/>
  <c r="O2" i="1"/>
  <c r="P2" i="1"/>
  <c r="Q2" i="1"/>
  <c r="R2" i="1"/>
  <c r="K3" i="1"/>
  <c r="L3" i="1"/>
  <c r="M3" i="1"/>
  <c r="N3" i="1"/>
  <c r="O3" i="1"/>
  <c r="P3" i="1"/>
  <c r="Q3" i="1"/>
  <c r="R3" i="1"/>
  <c r="K4" i="1"/>
  <c r="L4" i="1"/>
  <c r="M4" i="1"/>
  <c r="N4" i="1"/>
  <c r="O4" i="1"/>
  <c r="P4" i="1"/>
  <c r="Q4" i="1"/>
  <c r="R4" i="1"/>
  <c r="K5" i="1"/>
  <c r="L5" i="1"/>
  <c r="M5" i="1"/>
  <c r="N5" i="1"/>
  <c r="O5" i="1"/>
  <c r="P5" i="1"/>
  <c r="Q5" i="1"/>
  <c r="R5" i="1"/>
  <c r="K6" i="1"/>
  <c r="L6" i="1"/>
  <c r="M6" i="1"/>
  <c r="N6" i="1"/>
  <c r="O6" i="1"/>
  <c r="P6" i="1"/>
  <c r="Q6" i="1"/>
  <c r="R6" i="1"/>
  <c r="K7" i="1"/>
  <c r="L7" i="1"/>
  <c r="M7" i="1"/>
  <c r="N7" i="1"/>
  <c r="O7" i="1"/>
  <c r="P7" i="1"/>
  <c r="Q7" i="1"/>
  <c r="R7" i="1"/>
  <c r="K8" i="1"/>
  <c r="L8" i="1"/>
  <c r="M8" i="1"/>
  <c r="N8" i="1"/>
  <c r="O8" i="1"/>
  <c r="P8" i="1"/>
  <c r="Q8" i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/>
  <c r="K11" i="1"/>
  <c r="L11" i="1"/>
  <c r="M11" i="1"/>
  <c r="N11" i="1"/>
  <c r="O11" i="1"/>
  <c r="P11" i="1"/>
  <c r="Q11" i="1"/>
  <c r="R11" i="1"/>
  <c r="K12" i="1"/>
  <c r="L12" i="1"/>
  <c r="M12" i="1"/>
  <c r="N12" i="1"/>
  <c r="O12" i="1"/>
  <c r="P12" i="1"/>
  <c r="Q12" i="1"/>
  <c r="R12" i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K32" i="1"/>
  <c r="L32" i="1"/>
  <c r="M32" i="1"/>
  <c r="N32" i="1"/>
  <c r="O32" i="1"/>
  <c r="P32" i="1"/>
  <c r="Q32" i="1"/>
  <c r="R32" i="1"/>
  <c r="K33" i="1"/>
  <c r="L33" i="1"/>
  <c r="M33" i="1"/>
  <c r="N33" i="1"/>
  <c r="O33" i="1"/>
  <c r="P33" i="1"/>
  <c r="Q33" i="1"/>
  <c r="R33" i="1"/>
  <c r="K34" i="1"/>
  <c r="L34" i="1"/>
  <c r="M34" i="1"/>
  <c r="N34" i="1"/>
  <c r="O34" i="1"/>
  <c r="P34" i="1"/>
  <c r="Q34" i="1"/>
  <c r="R34" i="1"/>
  <c r="K35" i="1"/>
  <c r="L35" i="1"/>
  <c r="M35" i="1"/>
  <c r="N35" i="1"/>
  <c r="O35" i="1"/>
  <c r="P35" i="1"/>
  <c r="Q35" i="1"/>
  <c r="R35" i="1"/>
  <c r="K36" i="1"/>
  <c r="L36" i="1"/>
  <c r="M36" i="1"/>
  <c r="N36" i="1"/>
  <c r="O36" i="1"/>
  <c r="P36" i="1"/>
  <c r="Q36" i="1"/>
  <c r="R36" i="1"/>
  <c r="K37" i="1"/>
  <c r="L37" i="1"/>
  <c r="M37" i="1"/>
  <c r="N37" i="1"/>
  <c r="O37" i="1"/>
  <c r="P37" i="1"/>
  <c r="Q37" i="1"/>
  <c r="R37" i="1"/>
  <c r="K38" i="1"/>
  <c r="L38" i="1"/>
  <c r="M38" i="1"/>
  <c r="N38" i="1"/>
  <c r="O38" i="1"/>
  <c r="P38" i="1"/>
  <c r="Q38" i="1"/>
  <c r="R38" i="1"/>
  <c r="K39" i="1"/>
  <c r="L39" i="1"/>
  <c r="M39" i="1"/>
  <c r="N39" i="1"/>
  <c r="O39" i="1"/>
  <c r="P39" i="1"/>
  <c r="Q39" i="1"/>
  <c r="R39" i="1"/>
  <c r="K40" i="1"/>
  <c r="L40" i="1"/>
  <c r="M40" i="1"/>
  <c r="N40" i="1"/>
  <c r="O40" i="1"/>
  <c r="P40" i="1"/>
  <c r="Q40" i="1"/>
  <c r="R40" i="1"/>
  <c r="K41" i="1"/>
  <c r="L41" i="1"/>
  <c r="M41" i="1"/>
  <c r="N41" i="1"/>
  <c r="O41" i="1"/>
  <c r="P41" i="1"/>
  <c r="Q41" i="1"/>
  <c r="R41" i="1"/>
  <c r="K42" i="1"/>
  <c r="L42" i="1"/>
  <c r="M42" i="1"/>
  <c r="N42" i="1"/>
  <c r="O42" i="1"/>
  <c r="P42" i="1"/>
  <c r="Q42" i="1"/>
  <c r="R42" i="1"/>
  <c r="K43" i="1"/>
  <c r="L43" i="1"/>
  <c r="M43" i="1"/>
  <c r="N43" i="1"/>
  <c r="O43" i="1"/>
  <c r="P43" i="1"/>
  <c r="Q43" i="1"/>
  <c r="R43" i="1"/>
  <c r="K44" i="1"/>
  <c r="L44" i="1"/>
  <c r="M44" i="1"/>
  <c r="N44" i="1"/>
  <c r="O44" i="1"/>
  <c r="P44" i="1"/>
  <c r="Q44" i="1"/>
  <c r="R44" i="1"/>
  <c r="K45" i="1"/>
  <c r="L45" i="1"/>
  <c r="M45" i="1"/>
  <c r="N45" i="1"/>
  <c r="O45" i="1"/>
  <c r="P45" i="1"/>
  <c r="Q45" i="1"/>
  <c r="R45" i="1"/>
  <c r="K46" i="1"/>
  <c r="L46" i="1"/>
  <c r="M46" i="1"/>
  <c r="N46" i="1"/>
  <c r="O46" i="1"/>
  <c r="P46" i="1"/>
  <c r="Q46" i="1"/>
  <c r="R46" i="1"/>
  <c r="K47" i="1"/>
  <c r="L47" i="1"/>
  <c r="M47" i="1"/>
  <c r="N47" i="1"/>
  <c r="O47" i="1"/>
  <c r="P47" i="1"/>
  <c r="Q47" i="1"/>
  <c r="R47" i="1"/>
  <c r="K48" i="1"/>
  <c r="L48" i="1"/>
  <c r="M48" i="1"/>
  <c r="N48" i="1"/>
  <c r="O48" i="1"/>
  <c r="P48" i="1"/>
  <c r="Q48" i="1"/>
  <c r="R48" i="1"/>
  <c r="K49" i="1"/>
  <c r="L49" i="1"/>
  <c r="M49" i="1"/>
  <c r="N49" i="1"/>
  <c r="O49" i="1"/>
  <c r="P49" i="1"/>
  <c r="Q49" i="1"/>
  <c r="R49" i="1"/>
  <c r="K50" i="1"/>
  <c r="L50" i="1"/>
  <c r="M50" i="1"/>
  <c r="N50" i="1"/>
  <c r="O50" i="1"/>
  <c r="P50" i="1"/>
  <c r="Q50" i="1"/>
  <c r="R50" i="1"/>
  <c r="K51" i="1"/>
  <c r="L51" i="1"/>
  <c r="M51" i="1"/>
  <c r="N51" i="1"/>
  <c r="O51" i="1"/>
  <c r="P51" i="1"/>
  <c r="Q51" i="1"/>
  <c r="R51" i="1"/>
  <c r="K52" i="1"/>
  <c r="L52" i="1"/>
  <c r="M52" i="1"/>
  <c r="N52" i="1"/>
  <c r="O52" i="1"/>
  <c r="P52" i="1"/>
  <c r="Q52" i="1"/>
  <c r="R52" i="1"/>
  <c r="K53" i="1"/>
  <c r="L53" i="1"/>
  <c r="M53" i="1"/>
  <c r="N53" i="1"/>
  <c r="O53" i="1"/>
  <c r="P53" i="1"/>
  <c r="Q53" i="1"/>
  <c r="R53" i="1"/>
  <c r="K54" i="1"/>
  <c r="L54" i="1"/>
  <c r="M54" i="1"/>
  <c r="N54" i="1"/>
  <c r="O54" i="1"/>
  <c r="P54" i="1"/>
  <c r="Q54" i="1"/>
  <c r="R54" i="1"/>
  <c r="K55" i="1"/>
  <c r="L55" i="1"/>
  <c r="M55" i="1"/>
  <c r="N55" i="1"/>
  <c r="O55" i="1"/>
  <c r="P55" i="1"/>
  <c r="Q55" i="1"/>
  <c r="R55" i="1"/>
  <c r="K56" i="1"/>
  <c r="L56" i="1"/>
  <c r="M56" i="1"/>
  <c r="N56" i="1"/>
  <c r="O56" i="1"/>
  <c r="P56" i="1"/>
  <c r="Q56" i="1"/>
  <c r="R56" i="1"/>
  <c r="K57" i="1"/>
  <c r="L57" i="1"/>
  <c r="M57" i="1"/>
  <c r="N57" i="1"/>
  <c r="O57" i="1"/>
  <c r="P57" i="1"/>
  <c r="Q57" i="1"/>
  <c r="R57" i="1"/>
  <c r="K58" i="1"/>
  <c r="L58" i="1"/>
  <c r="M58" i="1"/>
  <c r="N58" i="1"/>
  <c r="O58" i="1"/>
  <c r="P58" i="1"/>
  <c r="Q58" i="1"/>
  <c r="R58" i="1"/>
  <c r="K59" i="1"/>
  <c r="L59" i="1"/>
  <c r="M59" i="1"/>
  <c r="N59" i="1"/>
  <c r="O59" i="1"/>
  <c r="P59" i="1"/>
  <c r="Q59" i="1"/>
  <c r="R59" i="1"/>
  <c r="K60" i="1"/>
  <c r="L60" i="1"/>
  <c r="M60" i="1"/>
  <c r="N60" i="1"/>
  <c r="O60" i="1"/>
  <c r="P60" i="1"/>
  <c r="Q60" i="1"/>
  <c r="R60" i="1"/>
  <c r="K61" i="1"/>
  <c r="L61" i="1"/>
  <c r="M61" i="1"/>
  <c r="N61" i="1"/>
  <c r="O61" i="1"/>
  <c r="P61" i="1"/>
  <c r="Q61" i="1"/>
  <c r="R61" i="1"/>
  <c r="K62" i="1"/>
  <c r="L62" i="1"/>
  <c r="M62" i="1"/>
  <c r="N62" i="1"/>
  <c r="O62" i="1"/>
  <c r="P62" i="1"/>
  <c r="Q62" i="1"/>
  <c r="R62" i="1"/>
  <c r="K63" i="1"/>
  <c r="L63" i="1"/>
  <c r="M63" i="1"/>
  <c r="N63" i="1"/>
  <c r="O63" i="1"/>
  <c r="P63" i="1"/>
  <c r="Q63" i="1"/>
  <c r="R63" i="1"/>
  <c r="K64" i="1"/>
  <c r="L64" i="1"/>
  <c r="M64" i="1"/>
  <c r="N64" i="1"/>
  <c r="O64" i="1"/>
  <c r="P64" i="1"/>
  <c r="Q64" i="1"/>
  <c r="R64" i="1"/>
  <c r="K65" i="1"/>
  <c r="L65" i="1"/>
  <c r="M65" i="1"/>
  <c r="N65" i="1"/>
  <c r="O65" i="1"/>
  <c r="P65" i="1"/>
  <c r="Q65" i="1"/>
  <c r="R65" i="1"/>
  <c r="K66" i="1"/>
  <c r="L66" i="1"/>
  <c r="M66" i="1"/>
  <c r="N66" i="1"/>
  <c r="O66" i="1"/>
  <c r="P66" i="1"/>
  <c r="Q66" i="1"/>
  <c r="R66" i="1"/>
  <c r="K67" i="1"/>
  <c r="L67" i="1"/>
  <c r="M67" i="1"/>
  <c r="N67" i="1"/>
  <c r="O67" i="1"/>
  <c r="P67" i="1"/>
  <c r="Q67" i="1"/>
  <c r="R67" i="1"/>
  <c r="K68" i="1"/>
  <c r="L68" i="1"/>
  <c r="M68" i="1"/>
  <c r="N68" i="1"/>
  <c r="O68" i="1"/>
  <c r="P68" i="1"/>
  <c r="Q68" i="1"/>
  <c r="R68" i="1"/>
  <c r="K69" i="1"/>
  <c r="L69" i="1"/>
  <c r="M69" i="1"/>
  <c r="N69" i="1"/>
  <c r="O69" i="1"/>
  <c r="P69" i="1"/>
  <c r="Q69" i="1"/>
  <c r="R69" i="1"/>
  <c r="K70" i="1"/>
  <c r="L70" i="1"/>
  <c r="M70" i="1"/>
  <c r="N70" i="1"/>
  <c r="O70" i="1"/>
  <c r="P70" i="1"/>
  <c r="Q70" i="1"/>
  <c r="R70" i="1"/>
  <c r="K71" i="1"/>
  <c r="L71" i="1"/>
  <c r="M71" i="1"/>
  <c r="N71" i="1"/>
  <c r="O71" i="1"/>
  <c r="P71" i="1"/>
  <c r="Q71" i="1"/>
  <c r="R71" i="1"/>
  <c r="K72" i="1"/>
  <c r="L72" i="1"/>
  <c r="M72" i="1"/>
  <c r="N72" i="1"/>
  <c r="O72" i="1"/>
  <c r="P72" i="1"/>
  <c r="Q72" i="1"/>
  <c r="R72" i="1"/>
  <c r="K73" i="1"/>
  <c r="L73" i="1"/>
  <c r="M73" i="1"/>
  <c r="N73" i="1"/>
  <c r="O73" i="1"/>
  <c r="P73" i="1"/>
  <c r="Q73" i="1"/>
  <c r="R73" i="1"/>
  <c r="K74" i="1"/>
  <c r="L74" i="1"/>
  <c r="M74" i="1"/>
  <c r="N74" i="1"/>
  <c r="O74" i="1"/>
  <c r="P74" i="1"/>
  <c r="Q74" i="1"/>
  <c r="R74" i="1"/>
  <c r="K75" i="1"/>
  <c r="L75" i="1"/>
  <c r="M75" i="1"/>
  <c r="N75" i="1"/>
  <c r="O75" i="1"/>
  <c r="P75" i="1"/>
  <c r="Q75" i="1"/>
  <c r="R75" i="1"/>
  <c r="K76" i="1"/>
  <c r="L76" i="1"/>
  <c r="M76" i="1"/>
  <c r="N76" i="1"/>
  <c r="O76" i="1"/>
  <c r="P76" i="1"/>
  <c r="Q76" i="1"/>
  <c r="R76" i="1"/>
  <c r="K77" i="1"/>
  <c r="L77" i="1"/>
  <c r="M77" i="1"/>
  <c r="N77" i="1"/>
  <c r="O77" i="1"/>
  <c r="P77" i="1"/>
  <c r="Q77" i="1"/>
  <c r="R77" i="1"/>
  <c r="K78" i="1"/>
  <c r="L78" i="1"/>
  <c r="M78" i="1"/>
  <c r="N78" i="1"/>
  <c r="O78" i="1"/>
  <c r="P78" i="1"/>
  <c r="Q78" i="1"/>
  <c r="R78" i="1"/>
  <c r="K79" i="1"/>
  <c r="L79" i="1"/>
  <c r="M79" i="1"/>
  <c r="N79" i="1"/>
  <c r="O79" i="1"/>
  <c r="P79" i="1"/>
  <c r="Q79" i="1"/>
  <c r="R79" i="1"/>
  <c r="K80" i="1"/>
  <c r="L80" i="1"/>
  <c r="M80" i="1"/>
  <c r="N80" i="1"/>
  <c r="O80" i="1"/>
  <c r="P80" i="1"/>
  <c r="Q80" i="1"/>
  <c r="R80" i="1"/>
  <c r="K81" i="1"/>
  <c r="L81" i="1"/>
  <c r="M81" i="1"/>
  <c r="N81" i="1"/>
  <c r="O81" i="1"/>
  <c r="P81" i="1"/>
  <c r="Q81" i="1"/>
  <c r="R81" i="1"/>
  <c r="K82" i="1"/>
  <c r="L82" i="1"/>
  <c r="M82" i="1"/>
  <c r="N82" i="1"/>
  <c r="O82" i="1"/>
  <c r="P82" i="1"/>
  <c r="Q82" i="1"/>
  <c r="R82" i="1"/>
  <c r="K83" i="1"/>
  <c r="L83" i="1"/>
  <c r="M83" i="1"/>
  <c r="N83" i="1"/>
  <c r="O83" i="1"/>
  <c r="P83" i="1"/>
  <c r="Q83" i="1"/>
  <c r="R83" i="1"/>
  <c r="K84" i="1"/>
  <c r="L84" i="1"/>
  <c r="M84" i="1"/>
  <c r="N84" i="1"/>
  <c r="O84" i="1"/>
  <c r="P84" i="1"/>
  <c r="Q84" i="1"/>
  <c r="R84" i="1"/>
  <c r="K85" i="1"/>
  <c r="L85" i="1"/>
  <c r="M85" i="1"/>
  <c r="N85" i="1"/>
  <c r="O85" i="1"/>
  <c r="P85" i="1"/>
  <c r="Q85" i="1"/>
  <c r="R85" i="1"/>
  <c r="K86" i="1"/>
  <c r="L86" i="1"/>
  <c r="M86" i="1"/>
  <c r="N86" i="1"/>
  <c r="O86" i="1"/>
  <c r="P86" i="1"/>
  <c r="Q86" i="1"/>
  <c r="R86" i="1"/>
  <c r="K87" i="1"/>
  <c r="L87" i="1"/>
  <c r="M87" i="1"/>
  <c r="N87" i="1"/>
  <c r="O87" i="1"/>
  <c r="P87" i="1"/>
  <c r="Q87" i="1"/>
  <c r="R87" i="1"/>
  <c r="K88" i="1"/>
  <c r="L88" i="1"/>
  <c r="M88" i="1"/>
  <c r="N88" i="1"/>
  <c r="O88" i="1"/>
  <c r="P88" i="1"/>
  <c r="Q88" i="1"/>
  <c r="R88" i="1"/>
  <c r="K89" i="1"/>
  <c r="L89" i="1"/>
  <c r="M89" i="1"/>
  <c r="N89" i="1"/>
  <c r="O89" i="1"/>
  <c r="P89" i="1"/>
  <c r="Q89" i="1"/>
  <c r="R89" i="1"/>
  <c r="K90" i="1"/>
  <c r="L90" i="1"/>
  <c r="M90" i="1"/>
  <c r="N90" i="1"/>
  <c r="O90" i="1"/>
  <c r="P90" i="1"/>
  <c r="Q90" i="1"/>
  <c r="R90" i="1"/>
  <c r="K91" i="1"/>
  <c r="L91" i="1"/>
  <c r="M91" i="1"/>
  <c r="N91" i="1"/>
  <c r="O91" i="1"/>
  <c r="P91" i="1"/>
  <c r="Q91" i="1"/>
  <c r="R91" i="1"/>
  <c r="K92" i="1"/>
  <c r="L92" i="1"/>
  <c r="M92" i="1"/>
  <c r="N92" i="1"/>
  <c r="O92" i="1"/>
  <c r="P92" i="1"/>
  <c r="Q92" i="1"/>
  <c r="R92" i="1"/>
  <c r="K93" i="1"/>
  <c r="L93" i="1"/>
  <c r="M93" i="1"/>
  <c r="N93" i="1"/>
  <c r="O93" i="1"/>
  <c r="P93" i="1"/>
  <c r="Q93" i="1"/>
  <c r="R93" i="1"/>
  <c r="K94" i="1"/>
  <c r="L94" i="1"/>
  <c r="M94" i="1"/>
  <c r="N94" i="1"/>
  <c r="O94" i="1"/>
  <c r="P94" i="1"/>
  <c r="Q94" i="1"/>
  <c r="R94" i="1"/>
  <c r="K95" i="1"/>
  <c r="L95" i="1"/>
  <c r="M95" i="1"/>
  <c r="N95" i="1"/>
  <c r="O95" i="1"/>
  <c r="P95" i="1"/>
  <c r="Q95" i="1"/>
  <c r="R95" i="1"/>
  <c r="K96" i="1"/>
  <c r="L96" i="1"/>
  <c r="M96" i="1"/>
  <c r="N96" i="1"/>
  <c r="O96" i="1"/>
  <c r="P96" i="1"/>
  <c r="Q96" i="1"/>
  <c r="R96" i="1"/>
  <c r="K97" i="1"/>
  <c r="L97" i="1"/>
  <c r="M97" i="1"/>
  <c r="N97" i="1"/>
  <c r="O97" i="1"/>
  <c r="P97" i="1"/>
  <c r="Q97" i="1"/>
  <c r="R97" i="1"/>
  <c r="K98" i="1"/>
  <c r="L98" i="1"/>
  <c r="M98" i="1"/>
  <c r="N98" i="1"/>
  <c r="O98" i="1"/>
  <c r="P98" i="1"/>
  <c r="Q98" i="1"/>
  <c r="R98" i="1"/>
  <c r="K99" i="1"/>
  <c r="L99" i="1"/>
  <c r="M99" i="1"/>
  <c r="N99" i="1"/>
  <c r="O99" i="1"/>
  <c r="P99" i="1"/>
  <c r="Q99" i="1"/>
  <c r="R99" i="1"/>
  <c r="K100" i="1"/>
  <c r="L100" i="1"/>
  <c r="M100" i="1"/>
  <c r="N100" i="1"/>
  <c r="O100" i="1"/>
  <c r="P100" i="1"/>
  <c r="Q100" i="1"/>
  <c r="R100" i="1"/>
  <c r="K101" i="1"/>
  <c r="L101" i="1"/>
  <c r="M101" i="1"/>
  <c r="N101" i="1"/>
  <c r="O101" i="1"/>
  <c r="P101" i="1"/>
  <c r="Q101" i="1"/>
  <c r="R101" i="1"/>
  <c r="K102" i="1"/>
  <c r="L102" i="1"/>
  <c r="M102" i="1"/>
  <c r="N102" i="1"/>
  <c r="O102" i="1"/>
  <c r="P102" i="1"/>
  <c r="Q102" i="1"/>
  <c r="R102" i="1"/>
  <c r="K103" i="1"/>
  <c r="L103" i="1"/>
  <c r="M103" i="1"/>
  <c r="N103" i="1"/>
  <c r="O103" i="1"/>
  <c r="P103" i="1"/>
  <c r="Q103" i="1"/>
  <c r="R103" i="1"/>
  <c r="K104" i="1"/>
  <c r="L104" i="1"/>
  <c r="M104" i="1"/>
  <c r="N104" i="1"/>
  <c r="O104" i="1"/>
  <c r="P104" i="1"/>
  <c r="Q104" i="1"/>
  <c r="R104" i="1"/>
  <c r="K105" i="1"/>
  <c r="L105" i="1"/>
  <c r="M105" i="1"/>
  <c r="N105" i="1"/>
  <c r="O105" i="1"/>
  <c r="P105" i="1"/>
  <c r="Q105" i="1"/>
  <c r="R105" i="1"/>
  <c r="K106" i="1"/>
  <c r="L106" i="1"/>
  <c r="M106" i="1"/>
  <c r="N106" i="1"/>
  <c r="O106" i="1"/>
  <c r="P106" i="1"/>
  <c r="Q106" i="1"/>
  <c r="R106" i="1"/>
  <c r="K107" i="1"/>
  <c r="L107" i="1"/>
  <c r="M107" i="1"/>
  <c r="N107" i="1"/>
  <c r="O107" i="1"/>
  <c r="P107" i="1"/>
  <c r="Q107" i="1"/>
  <c r="R107" i="1"/>
  <c r="K108" i="1"/>
  <c r="L108" i="1"/>
  <c r="M108" i="1"/>
  <c r="N108" i="1"/>
  <c r="O108" i="1"/>
  <c r="P108" i="1"/>
  <c r="Q108" i="1"/>
  <c r="R108" i="1"/>
  <c r="K109" i="1"/>
  <c r="L109" i="1"/>
  <c r="M109" i="1"/>
  <c r="N109" i="1"/>
  <c r="O109" i="1"/>
  <c r="P109" i="1"/>
  <c r="Q109" i="1"/>
  <c r="R109" i="1"/>
  <c r="K110" i="1"/>
  <c r="L110" i="1"/>
  <c r="M110" i="1"/>
  <c r="N110" i="1"/>
  <c r="O110" i="1"/>
  <c r="P110" i="1"/>
  <c r="Q110" i="1"/>
  <c r="R110" i="1"/>
  <c r="K111" i="1"/>
  <c r="L111" i="1"/>
  <c r="M111" i="1"/>
  <c r="N111" i="1"/>
  <c r="O111" i="1"/>
  <c r="P111" i="1"/>
  <c r="Q111" i="1"/>
  <c r="R111" i="1"/>
  <c r="K112" i="1"/>
  <c r="L112" i="1"/>
  <c r="M112" i="1"/>
  <c r="N112" i="1"/>
  <c r="O112" i="1"/>
  <c r="P112" i="1"/>
  <c r="Q112" i="1"/>
  <c r="R112" i="1"/>
  <c r="K113" i="1"/>
  <c r="L113" i="1"/>
  <c r="M113" i="1"/>
  <c r="N113" i="1"/>
  <c r="O113" i="1"/>
  <c r="P113" i="1"/>
  <c r="Q113" i="1"/>
  <c r="R113" i="1"/>
  <c r="K114" i="1"/>
  <c r="L114" i="1"/>
  <c r="M114" i="1"/>
  <c r="N114" i="1"/>
  <c r="O114" i="1"/>
  <c r="P114" i="1"/>
  <c r="Q114" i="1"/>
  <c r="R114" i="1"/>
  <c r="K115" i="1"/>
  <c r="L115" i="1"/>
  <c r="M115" i="1"/>
  <c r="N115" i="1"/>
  <c r="O115" i="1"/>
  <c r="P115" i="1"/>
  <c r="Q115" i="1"/>
  <c r="R115" i="1"/>
  <c r="K116" i="1"/>
  <c r="L116" i="1"/>
  <c r="M116" i="1"/>
  <c r="N116" i="1"/>
  <c r="O116" i="1"/>
  <c r="P116" i="1"/>
  <c r="Q116" i="1"/>
  <c r="R116" i="1"/>
  <c r="K117" i="1"/>
  <c r="L117" i="1"/>
  <c r="M117" i="1"/>
  <c r="N117" i="1"/>
  <c r="O117" i="1"/>
  <c r="P117" i="1"/>
  <c r="Q117" i="1"/>
  <c r="R117" i="1"/>
  <c r="K118" i="1"/>
  <c r="L118" i="1"/>
  <c r="M118" i="1"/>
  <c r="N118" i="1"/>
  <c r="O118" i="1"/>
  <c r="P118" i="1"/>
  <c r="Q118" i="1"/>
  <c r="R118" i="1"/>
  <c r="K119" i="1"/>
  <c r="L119" i="1"/>
  <c r="M119" i="1"/>
  <c r="N119" i="1"/>
  <c r="O119" i="1"/>
  <c r="P119" i="1"/>
  <c r="Q119" i="1"/>
  <c r="R119" i="1"/>
  <c r="K120" i="1"/>
  <c r="L120" i="1"/>
  <c r="M120" i="1"/>
  <c r="N120" i="1"/>
  <c r="O120" i="1"/>
  <c r="P120" i="1"/>
  <c r="Q120" i="1"/>
  <c r="R120" i="1"/>
  <c r="K121" i="1"/>
  <c r="L121" i="1"/>
  <c r="M121" i="1"/>
  <c r="N121" i="1"/>
  <c r="O121" i="1"/>
  <c r="P121" i="1"/>
  <c r="Q121" i="1"/>
  <c r="R121" i="1"/>
  <c r="K122" i="1"/>
  <c r="L122" i="1"/>
  <c r="M122" i="1"/>
  <c r="N122" i="1"/>
  <c r="O122" i="1"/>
  <c r="P122" i="1"/>
  <c r="Q122" i="1"/>
  <c r="R122" i="1"/>
  <c r="K123" i="1"/>
  <c r="L123" i="1"/>
  <c r="M123" i="1"/>
  <c r="N123" i="1"/>
  <c r="O123" i="1"/>
  <c r="P123" i="1"/>
  <c r="Q123" i="1"/>
  <c r="R123" i="1"/>
  <c r="K124" i="1"/>
  <c r="L124" i="1"/>
  <c r="M124" i="1"/>
  <c r="N124" i="1"/>
  <c r="O124" i="1"/>
  <c r="P124" i="1"/>
  <c r="Q124" i="1"/>
  <c r="R124" i="1"/>
  <c r="K125" i="1"/>
  <c r="L125" i="1"/>
  <c r="M125" i="1"/>
  <c r="N125" i="1"/>
  <c r="O125" i="1"/>
  <c r="P125" i="1"/>
  <c r="Q125" i="1"/>
  <c r="R125" i="1"/>
  <c r="K126" i="1"/>
  <c r="L126" i="1"/>
  <c r="M126" i="1"/>
  <c r="N126" i="1"/>
  <c r="O126" i="1"/>
  <c r="P126" i="1"/>
  <c r="Q126" i="1"/>
  <c r="R126" i="1"/>
  <c r="K127" i="1"/>
  <c r="L127" i="1"/>
  <c r="M127" i="1"/>
  <c r="N127" i="1"/>
  <c r="O127" i="1"/>
  <c r="P127" i="1"/>
  <c r="Q127" i="1"/>
  <c r="R127" i="1"/>
  <c r="K128" i="1"/>
  <c r="L128" i="1"/>
  <c r="M128" i="1"/>
  <c r="N128" i="1"/>
  <c r="O128" i="1"/>
  <c r="P128" i="1"/>
  <c r="Q128" i="1"/>
  <c r="R128" i="1"/>
  <c r="K129" i="1"/>
  <c r="L129" i="1"/>
  <c r="M129" i="1"/>
  <c r="N129" i="1"/>
  <c r="O129" i="1"/>
  <c r="P129" i="1"/>
  <c r="Q129" i="1"/>
  <c r="R129" i="1"/>
  <c r="K130" i="1"/>
  <c r="L130" i="1"/>
  <c r="M130" i="1"/>
  <c r="N130" i="1"/>
  <c r="O130" i="1"/>
  <c r="P130" i="1"/>
  <c r="Q130" i="1"/>
  <c r="R130" i="1"/>
  <c r="K131" i="1"/>
  <c r="L131" i="1"/>
  <c r="M131" i="1"/>
  <c r="N131" i="1"/>
  <c r="O131" i="1"/>
  <c r="P131" i="1"/>
  <c r="Q131" i="1"/>
  <c r="R131" i="1"/>
  <c r="K132" i="1"/>
  <c r="L132" i="1"/>
  <c r="M132" i="1"/>
  <c r="N132" i="1"/>
  <c r="O132" i="1"/>
  <c r="P132" i="1"/>
  <c r="Q132" i="1"/>
  <c r="R132" i="1"/>
  <c r="K133" i="1"/>
  <c r="L133" i="1"/>
  <c r="M133" i="1"/>
  <c r="N133" i="1"/>
  <c r="O133" i="1"/>
  <c r="P133" i="1"/>
  <c r="Q133" i="1"/>
  <c r="R133" i="1"/>
  <c r="K134" i="1"/>
  <c r="L134" i="1"/>
  <c r="M134" i="1"/>
  <c r="N134" i="1"/>
  <c r="O134" i="1"/>
  <c r="P134" i="1"/>
  <c r="Q134" i="1"/>
  <c r="R134" i="1"/>
  <c r="K135" i="1"/>
  <c r="L135" i="1"/>
  <c r="M135" i="1"/>
  <c r="N135" i="1"/>
  <c r="O135" i="1"/>
  <c r="P135" i="1"/>
  <c r="Q135" i="1"/>
  <c r="R135" i="1"/>
  <c r="K136" i="1"/>
  <c r="L136" i="1"/>
  <c r="M136" i="1"/>
  <c r="N136" i="1"/>
  <c r="O136" i="1"/>
  <c r="P136" i="1"/>
  <c r="Q136" i="1"/>
  <c r="R136" i="1"/>
  <c r="K137" i="1"/>
  <c r="L137" i="1"/>
  <c r="M137" i="1"/>
  <c r="N137" i="1"/>
  <c r="O137" i="1"/>
  <c r="P137" i="1"/>
  <c r="Q137" i="1"/>
  <c r="R137" i="1"/>
  <c r="K138" i="1"/>
  <c r="L138" i="1"/>
  <c r="M138" i="1"/>
  <c r="N138" i="1"/>
  <c r="O138" i="1"/>
  <c r="P138" i="1"/>
  <c r="Q138" i="1"/>
  <c r="R138" i="1"/>
  <c r="K139" i="1"/>
  <c r="L139" i="1"/>
  <c r="M139" i="1"/>
  <c r="N139" i="1"/>
  <c r="O139" i="1"/>
  <c r="P139" i="1"/>
  <c r="Q139" i="1"/>
  <c r="R139" i="1"/>
  <c r="K140" i="1"/>
  <c r="L140" i="1"/>
  <c r="M140" i="1"/>
  <c r="N140" i="1"/>
  <c r="O140" i="1"/>
  <c r="P140" i="1"/>
  <c r="Q140" i="1"/>
  <c r="R140" i="1"/>
  <c r="K141" i="1"/>
  <c r="L141" i="1"/>
  <c r="M141" i="1"/>
  <c r="N141" i="1"/>
  <c r="O141" i="1"/>
  <c r="P141" i="1"/>
  <c r="Q141" i="1"/>
  <c r="R141" i="1"/>
  <c r="K142" i="1"/>
  <c r="L142" i="1"/>
  <c r="M142" i="1"/>
  <c r="N142" i="1"/>
  <c r="O142" i="1"/>
  <c r="P142" i="1"/>
  <c r="Q142" i="1"/>
  <c r="R142" i="1"/>
  <c r="K143" i="1"/>
  <c r="L143" i="1"/>
  <c r="M143" i="1"/>
  <c r="N143" i="1"/>
  <c r="O143" i="1"/>
  <c r="P143" i="1"/>
  <c r="Q143" i="1"/>
  <c r="R143" i="1"/>
  <c r="K144" i="1"/>
  <c r="L144" i="1"/>
  <c r="M144" i="1"/>
  <c r="N144" i="1"/>
  <c r="O144" i="1"/>
  <c r="P144" i="1"/>
  <c r="Q144" i="1"/>
  <c r="R144" i="1"/>
  <c r="K145" i="1"/>
  <c r="L145" i="1"/>
  <c r="M145" i="1"/>
  <c r="N145" i="1"/>
  <c r="O145" i="1"/>
  <c r="P145" i="1"/>
  <c r="Q145" i="1"/>
  <c r="R145" i="1"/>
  <c r="K146" i="1"/>
  <c r="L146" i="1"/>
  <c r="M146" i="1"/>
  <c r="N146" i="1"/>
  <c r="O146" i="1"/>
  <c r="P146" i="1"/>
  <c r="Q146" i="1"/>
  <c r="R146" i="1"/>
  <c r="K147" i="1"/>
  <c r="L147" i="1"/>
  <c r="M147" i="1"/>
  <c r="N147" i="1"/>
  <c r="O147" i="1"/>
  <c r="P147" i="1"/>
  <c r="Q147" i="1"/>
  <c r="R147" i="1"/>
  <c r="K148" i="1"/>
  <c r="L148" i="1"/>
  <c r="M148" i="1"/>
  <c r="N148" i="1"/>
  <c r="O148" i="1"/>
  <c r="P148" i="1"/>
  <c r="Q148" i="1"/>
  <c r="R148" i="1"/>
  <c r="K149" i="1"/>
  <c r="L149" i="1"/>
  <c r="M149" i="1"/>
  <c r="N149" i="1"/>
  <c r="O149" i="1"/>
  <c r="P149" i="1"/>
  <c r="Q149" i="1"/>
  <c r="R149" i="1"/>
  <c r="K150" i="1"/>
  <c r="L150" i="1"/>
  <c r="M150" i="1"/>
  <c r="N150" i="1"/>
  <c r="O150" i="1"/>
  <c r="P150" i="1"/>
  <c r="Q150" i="1"/>
  <c r="R150" i="1"/>
  <c r="K151" i="1"/>
  <c r="L151" i="1"/>
  <c r="M151" i="1"/>
  <c r="N151" i="1"/>
  <c r="O151" i="1"/>
  <c r="P151" i="1"/>
  <c r="Q151" i="1"/>
  <c r="R151" i="1"/>
  <c r="K152" i="1"/>
  <c r="L152" i="1"/>
  <c r="M152" i="1"/>
  <c r="N152" i="1"/>
  <c r="O152" i="1"/>
  <c r="P152" i="1"/>
  <c r="Q152" i="1"/>
  <c r="R152" i="1"/>
  <c r="K153" i="1"/>
  <c r="L153" i="1"/>
  <c r="M153" i="1"/>
  <c r="N153" i="1"/>
  <c r="O153" i="1"/>
  <c r="P153" i="1"/>
  <c r="Q153" i="1"/>
  <c r="R153" i="1"/>
  <c r="K154" i="1"/>
  <c r="L154" i="1"/>
  <c r="M154" i="1"/>
  <c r="N154" i="1"/>
  <c r="O154" i="1"/>
  <c r="P154" i="1"/>
  <c r="Q154" i="1"/>
  <c r="R154" i="1"/>
  <c r="K155" i="1"/>
  <c r="L155" i="1"/>
  <c r="M155" i="1"/>
  <c r="N155" i="1"/>
  <c r="O155" i="1"/>
  <c r="P155" i="1"/>
  <c r="Q155" i="1"/>
  <c r="R155" i="1"/>
  <c r="K156" i="1"/>
  <c r="L156" i="1"/>
  <c r="M156" i="1"/>
  <c r="N156" i="1"/>
  <c r="O156" i="1"/>
  <c r="P156" i="1"/>
  <c r="Q156" i="1"/>
  <c r="R156" i="1"/>
  <c r="K157" i="1"/>
  <c r="L157" i="1"/>
  <c r="M157" i="1"/>
  <c r="N157" i="1"/>
  <c r="O157" i="1"/>
  <c r="P157" i="1"/>
  <c r="Q157" i="1"/>
  <c r="R157" i="1"/>
  <c r="K158" i="1"/>
  <c r="L158" i="1"/>
  <c r="M158" i="1"/>
  <c r="N158" i="1"/>
  <c r="O158" i="1"/>
  <c r="P158" i="1"/>
  <c r="Q158" i="1"/>
  <c r="R158" i="1"/>
  <c r="K159" i="1"/>
  <c r="L159" i="1"/>
  <c r="M159" i="1"/>
  <c r="N159" i="1"/>
  <c r="O159" i="1"/>
  <c r="P159" i="1"/>
  <c r="Q159" i="1"/>
  <c r="R159" i="1"/>
  <c r="K160" i="1"/>
  <c r="L160" i="1"/>
  <c r="M160" i="1"/>
  <c r="N160" i="1"/>
  <c r="O160" i="1"/>
  <c r="P160" i="1"/>
  <c r="Q160" i="1"/>
  <c r="R160" i="1"/>
  <c r="K161" i="1"/>
  <c r="L161" i="1"/>
  <c r="M161" i="1"/>
  <c r="N161" i="1"/>
  <c r="O161" i="1"/>
  <c r="P161" i="1"/>
  <c r="Q161" i="1"/>
  <c r="R161" i="1"/>
  <c r="K162" i="1"/>
  <c r="L162" i="1"/>
  <c r="M162" i="1"/>
  <c r="N162" i="1"/>
  <c r="O162" i="1"/>
  <c r="P162" i="1"/>
  <c r="Q162" i="1"/>
  <c r="R162" i="1"/>
  <c r="K163" i="1"/>
  <c r="L163" i="1"/>
  <c r="M163" i="1"/>
  <c r="N163" i="1"/>
  <c r="O163" i="1"/>
  <c r="P163" i="1"/>
  <c r="Q163" i="1"/>
  <c r="R163" i="1"/>
  <c r="K164" i="1"/>
  <c r="L164" i="1"/>
  <c r="M164" i="1"/>
  <c r="N164" i="1"/>
  <c r="O164" i="1"/>
  <c r="P164" i="1"/>
  <c r="Q164" i="1"/>
  <c r="R164" i="1"/>
  <c r="K165" i="1"/>
  <c r="L165" i="1"/>
  <c r="M165" i="1"/>
  <c r="N165" i="1"/>
  <c r="O165" i="1"/>
  <c r="P165" i="1"/>
  <c r="Q165" i="1"/>
  <c r="R165" i="1"/>
  <c r="K166" i="1"/>
  <c r="L166" i="1"/>
  <c r="M166" i="1"/>
  <c r="N166" i="1"/>
  <c r="O166" i="1"/>
  <c r="P166" i="1"/>
  <c r="Q166" i="1"/>
  <c r="R166" i="1"/>
  <c r="K167" i="1"/>
  <c r="L167" i="1"/>
  <c r="M167" i="1"/>
  <c r="N167" i="1"/>
  <c r="O167" i="1"/>
  <c r="P167" i="1"/>
  <c r="Q167" i="1"/>
  <c r="R167" i="1"/>
  <c r="K168" i="1"/>
  <c r="L168" i="1"/>
  <c r="M168" i="1"/>
  <c r="N168" i="1"/>
  <c r="O168" i="1"/>
  <c r="P168" i="1"/>
  <c r="Q168" i="1"/>
  <c r="R168" i="1"/>
  <c r="K169" i="1"/>
  <c r="L169" i="1"/>
  <c r="M169" i="1"/>
  <c r="N169" i="1"/>
  <c r="O169" i="1"/>
  <c r="P169" i="1"/>
  <c r="Q169" i="1"/>
  <c r="R169" i="1"/>
  <c r="K170" i="1"/>
  <c r="L170" i="1"/>
  <c r="M170" i="1"/>
  <c r="N170" i="1"/>
  <c r="O170" i="1"/>
  <c r="P170" i="1"/>
  <c r="Q170" i="1"/>
  <c r="R170" i="1"/>
  <c r="K171" i="1"/>
  <c r="L171" i="1"/>
  <c r="M171" i="1"/>
  <c r="N171" i="1"/>
  <c r="O171" i="1"/>
  <c r="P171" i="1"/>
  <c r="Q171" i="1"/>
  <c r="R171" i="1"/>
  <c r="K172" i="1"/>
  <c r="L172" i="1"/>
  <c r="M172" i="1"/>
  <c r="N172" i="1"/>
  <c r="O172" i="1"/>
  <c r="P172" i="1"/>
  <c r="Q172" i="1"/>
  <c r="R172" i="1"/>
  <c r="K173" i="1"/>
  <c r="L173" i="1"/>
  <c r="M173" i="1"/>
  <c r="N173" i="1"/>
  <c r="O173" i="1"/>
  <c r="P173" i="1"/>
  <c r="Q173" i="1"/>
  <c r="R173" i="1"/>
  <c r="K174" i="1"/>
  <c r="L174" i="1"/>
  <c r="M174" i="1"/>
  <c r="N174" i="1"/>
  <c r="O174" i="1"/>
  <c r="P174" i="1"/>
  <c r="Q174" i="1"/>
  <c r="R174" i="1"/>
  <c r="K175" i="1"/>
  <c r="L175" i="1"/>
  <c r="M175" i="1"/>
  <c r="N175" i="1"/>
  <c r="O175" i="1"/>
  <c r="P175" i="1"/>
  <c r="Q175" i="1"/>
  <c r="R175" i="1"/>
  <c r="K176" i="1"/>
  <c r="L176" i="1"/>
  <c r="M176" i="1"/>
  <c r="N176" i="1"/>
  <c r="O176" i="1"/>
  <c r="P176" i="1"/>
  <c r="Q176" i="1"/>
  <c r="R176" i="1"/>
  <c r="K177" i="1"/>
  <c r="L177" i="1"/>
  <c r="M177" i="1"/>
  <c r="N177" i="1"/>
  <c r="O177" i="1"/>
  <c r="P177" i="1"/>
  <c r="Q177" i="1"/>
  <c r="R177" i="1"/>
  <c r="K178" i="1"/>
  <c r="L178" i="1"/>
  <c r="M178" i="1"/>
  <c r="N178" i="1"/>
  <c r="O178" i="1"/>
  <c r="P178" i="1"/>
  <c r="Q178" i="1"/>
  <c r="R178" i="1"/>
  <c r="K179" i="1"/>
  <c r="L179" i="1"/>
  <c r="M179" i="1"/>
  <c r="N179" i="1"/>
  <c r="O179" i="1"/>
  <c r="P179" i="1"/>
  <c r="Q179" i="1"/>
  <c r="R179" i="1"/>
  <c r="K180" i="1"/>
  <c r="L180" i="1"/>
  <c r="M180" i="1"/>
  <c r="N180" i="1"/>
  <c r="O180" i="1"/>
  <c r="P180" i="1"/>
  <c r="Q180" i="1"/>
  <c r="R180" i="1"/>
  <c r="K181" i="1"/>
  <c r="L181" i="1"/>
  <c r="M181" i="1"/>
  <c r="N181" i="1"/>
  <c r="O181" i="1"/>
  <c r="P181" i="1"/>
  <c r="Q181" i="1"/>
  <c r="R181" i="1"/>
  <c r="K182" i="1"/>
  <c r="L182" i="1"/>
  <c r="M182" i="1"/>
  <c r="N182" i="1"/>
  <c r="O182" i="1"/>
  <c r="P182" i="1"/>
  <c r="Q182" i="1"/>
  <c r="R182" i="1"/>
  <c r="K183" i="1"/>
  <c r="L183" i="1"/>
  <c r="M183" i="1"/>
  <c r="N183" i="1"/>
  <c r="O183" i="1"/>
  <c r="P183" i="1"/>
  <c r="Q183" i="1"/>
  <c r="R183" i="1"/>
  <c r="K184" i="1"/>
  <c r="L184" i="1"/>
  <c r="M184" i="1"/>
  <c r="N184" i="1"/>
  <c r="O184" i="1"/>
  <c r="P184" i="1"/>
  <c r="Q184" i="1"/>
  <c r="R184" i="1"/>
  <c r="K185" i="1"/>
  <c r="L185" i="1"/>
  <c r="M185" i="1"/>
  <c r="N185" i="1"/>
  <c r="O185" i="1"/>
  <c r="P185" i="1"/>
  <c r="Q185" i="1"/>
  <c r="R185" i="1"/>
  <c r="K186" i="1"/>
  <c r="L186" i="1"/>
  <c r="M186" i="1"/>
  <c r="N186" i="1"/>
  <c r="O186" i="1"/>
  <c r="P186" i="1"/>
  <c r="Q186" i="1"/>
  <c r="R186" i="1"/>
  <c r="K187" i="1"/>
  <c r="L187" i="1"/>
  <c r="M187" i="1"/>
  <c r="N187" i="1"/>
  <c r="O187" i="1"/>
  <c r="P187" i="1"/>
  <c r="Q187" i="1"/>
  <c r="R187" i="1"/>
  <c r="K188" i="1"/>
  <c r="L188" i="1"/>
  <c r="M188" i="1"/>
  <c r="N188" i="1"/>
  <c r="O188" i="1"/>
  <c r="P188" i="1"/>
  <c r="Q188" i="1"/>
  <c r="R188" i="1"/>
  <c r="K189" i="1"/>
  <c r="L189" i="1"/>
  <c r="M189" i="1"/>
  <c r="N189" i="1"/>
  <c r="O189" i="1"/>
  <c r="P189" i="1"/>
  <c r="Q189" i="1"/>
  <c r="R189" i="1"/>
  <c r="K190" i="1"/>
  <c r="L190" i="1"/>
  <c r="M190" i="1"/>
  <c r="N190" i="1"/>
  <c r="O190" i="1"/>
  <c r="P190" i="1"/>
  <c r="Q190" i="1"/>
  <c r="R190" i="1"/>
  <c r="K191" i="1"/>
  <c r="L191" i="1"/>
  <c r="M191" i="1"/>
  <c r="N191" i="1"/>
  <c r="O191" i="1"/>
  <c r="P191" i="1"/>
  <c r="Q191" i="1"/>
  <c r="R191" i="1"/>
  <c r="K192" i="1"/>
  <c r="L192" i="1"/>
  <c r="M192" i="1"/>
  <c r="N192" i="1"/>
  <c r="O192" i="1"/>
  <c r="P192" i="1"/>
  <c r="Q192" i="1"/>
  <c r="R192" i="1"/>
  <c r="K193" i="1"/>
  <c r="L193" i="1"/>
  <c r="M193" i="1"/>
  <c r="N193" i="1"/>
  <c r="O193" i="1"/>
  <c r="P193" i="1"/>
  <c r="Q193" i="1"/>
  <c r="R193" i="1"/>
  <c r="K194" i="1"/>
  <c r="L194" i="1"/>
  <c r="M194" i="1"/>
  <c r="N194" i="1"/>
  <c r="O194" i="1"/>
  <c r="P194" i="1"/>
  <c r="Q194" i="1"/>
  <c r="R194" i="1"/>
  <c r="K195" i="1"/>
  <c r="L195" i="1"/>
  <c r="M195" i="1"/>
  <c r="N195" i="1"/>
  <c r="O195" i="1"/>
  <c r="P195" i="1"/>
  <c r="Q195" i="1"/>
  <c r="R195" i="1"/>
  <c r="K196" i="1"/>
  <c r="L196" i="1"/>
  <c r="M196" i="1"/>
  <c r="N196" i="1"/>
  <c r="O196" i="1"/>
  <c r="P196" i="1"/>
  <c r="Q196" i="1"/>
  <c r="R196" i="1"/>
  <c r="K197" i="1"/>
  <c r="L197" i="1"/>
  <c r="M197" i="1"/>
  <c r="N197" i="1"/>
  <c r="O197" i="1"/>
  <c r="P197" i="1"/>
  <c r="Q197" i="1"/>
  <c r="R197" i="1"/>
  <c r="K198" i="1"/>
  <c r="L198" i="1"/>
  <c r="M198" i="1"/>
  <c r="N198" i="1"/>
  <c r="O198" i="1"/>
  <c r="P198" i="1"/>
  <c r="Q198" i="1"/>
  <c r="R198" i="1"/>
  <c r="K199" i="1"/>
  <c r="L199" i="1"/>
  <c r="M199" i="1"/>
  <c r="N199" i="1"/>
  <c r="O199" i="1"/>
  <c r="P199" i="1"/>
  <c r="Q199" i="1"/>
  <c r="R199" i="1"/>
  <c r="K200" i="1"/>
  <c r="L200" i="1"/>
  <c r="M200" i="1"/>
  <c r="N200" i="1"/>
  <c r="O200" i="1"/>
  <c r="P200" i="1"/>
  <c r="Q200" i="1"/>
  <c r="R200" i="1"/>
  <c r="K201" i="1"/>
  <c r="L201" i="1"/>
  <c r="M201" i="1"/>
  <c r="N201" i="1"/>
  <c r="O201" i="1"/>
  <c r="P201" i="1"/>
  <c r="Q201" i="1"/>
  <c r="R201" i="1"/>
</calcChain>
</file>

<file path=xl/sharedStrings.xml><?xml version="1.0" encoding="utf-8"?>
<sst xmlns="http://schemas.openxmlformats.org/spreadsheetml/2006/main" count="1228" uniqueCount="426">
  <si>
    <t>Order ID</t>
  </si>
  <si>
    <t>Order Date</t>
  </si>
  <si>
    <t>Ship Mode</t>
  </si>
  <si>
    <t>Segment</t>
  </si>
  <si>
    <t>Region</t>
  </si>
  <si>
    <t>Category</t>
  </si>
  <si>
    <t>Sales</t>
  </si>
  <si>
    <t>Quantity</t>
  </si>
  <si>
    <t>Discount</t>
  </si>
  <si>
    <t>Profit</t>
  </si>
  <si>
    <t>CA-2020-1001</t>
  </si>
  <si>
    <t>CA-2020-1002</t>
  </si>
  <si>
    <t>CA-2020-1003</t>
  </si>
  <si>
    <t>CA-2020-1004</t>
  </si>
  <si>
    <t>CA-2020-1005</t>
  </si>
  <si>
    <t>CA-2020-1006</t>
  </si>
  <si>
    <t>CA-2020-1007</t>
  </si>
  <si>
    <t>CA-2020-1008</t>
  </si>
  <si>
    <t>CA-2020-1009</t>
  </si>
  <si>
    <t>CA-2020-1010</t>
  </si>
  <si>
    <t>CA-2020-1011</t>
  </si>
  <si>
    <t>CA-2020-1012</t>
  </si>
  <si>
    <t>CA-2020-1013</t>
  </si>
  <si>
    <t>CA-2020-1014</t>
  </si>
  <si>
    <t>CA-2020-1015</t>
  </si>
  <si>
    <t>CA-2020-1016</t>
  </si>
  <si>
    <t>CA-2020-1017</t>
  </si>
  <si>
    <t>CA-2020-1018</t>
  </si>
  <si>
    <t>CA-2020-1019</t>
  </si>
  <si>
    <t>CA-2020-1020</t>
  </si>
  <si>
    <t>CA-2020-1021</t>
  </si>
  <si>
    <t>CA-2020-1022</t>
  </si>
  <si>
    <t>CA-2020-1023</t>
  </si>
  <si>
    <t>CA-2020-1024</t>
  </si>
  <si>
    <t>CA-2020-1025</t>
  </si>
  <si>
    <t>CA-2020-1026</t>
  </si>
  <si>
    <t>CA-2020-1027</t>
  </si>
  <si>
    <t>CA-2020-1028</t>
  </si>
  <si>
    <t>CA-2020-1029</t>
  </si>
  <si>
    <t>CA-2020-1030</t>
  </si>
  <si>
    <t>CA-2020-1031</t>
  </si>
  <si>
    <t>CA-2020-1032</t>
  </si>
  <si>
    <t>CA-2020-1033</t>
  </si>
  <si>
    <t>CA-2020-1034</t>
  </si>
  <si>
    <t>CA-2020-1035</t>
  </si>
  <si>
    <t>CA-2020-1036</t>
  </si>
  <si>
    <t>CA-2020-1037</t>
  </si>
  <si>
    <t>CA-2020-1038</t>
  </si>
  <si>
    <t>CA-2020-1039</t>
  </si>
  <si>
    <t>CA-2020-1040</t>
  </si>
  <si>
    <t>CA-2020-1041</t>
  </si>
  <si>
    <t>CA-2020-1042</t>
  </si>
  <si>
    <t>CA-2020-1043</t>
  </si>
  <si>
    <t>CA-2020-1044</t>
  </si>
  <si>
    <t>CA-2020-1045</t>
  </si>
  <si>
    <t>CA-2020-1046</t>
  </si>
  <si>
    <t>CA-2020-1047</t>
  </si>
  <si>
    <t>CA-2020-1048</t>
  </si>
  <si>
    <t>CA-2020-1049</t>
  </si>
  <si>
    <t>CA-2020-1050</t>
  </si>
  <si>
    <t>CA-2020-1051</t>
  </si>
  <si>
    <t>CA-2020-1052</t>
  </si>
  <si>
    <t>CA-2020-1053</t>
  </si>
  <si>
    <t>CA-2020-1054</t>
  </si>
  <si>
    <t>CA-2020-1055</t>
  </si>
  <si>
    <t>CA-2020-1056</t>
  </si>
  <si>
    <t>CA-2020-1057</t>
  </si>
  <si>
    <t>CA-2020-1058</t>
  </si>
  <si>
    <t>CA-2020-1059</t>
  </si>
  <si>
    <t>CA-2020-1060</t>
  </si>
  <si>
    <t>CA-2020-1061</t>
  </si>
  <si>
    <t>CA-2020-1062</t>
  </si>
  <si>
    <t>CA-2020-1063</t>
  </si>
  <si>
    <t>CA-2020-1064</t>
  </si>
  <si>
    <t>CA-2020-1065</t>
  </si>
  <si>
    <t>CA-2020-1066</t>
  </si>
  <si>
    <t>CA-2020-1067</t>
  </si>
  <si>
    <t>CA-2020-1068</t>
  </si>
  <si>
    <t>CA-2020-1069</t>
  </si>
  <si>
    <t>CA-2020-1070</t>
  </si>
  <si>
    <t>CA-2020-1071</t>
  </si>
  <si>
    <t>CA-2020-1072</t>
  </si>
  <si>
    <t>CA-2020-1073</t>
  </si>
  <si>
    <t>CA-2020-1074</t>
  </si>
  <si>
    <t>CA-2020-1075</t>
  </si>
  <si>
    <t>CA-2020-1076</t>
  </si>
  <si>
    <t>CA-2020-1077</t>
  </si>
  <si>
    <t>CA-2020-1078</t>
  </si>
  <si>
    <t>CA-2020-1079</t>
  </si>
  <si>
    <t>CA-2020-1080</t>
  </si>
  <si>
    <t>CA-2020-1081</t>
  </si>
  <si>
    <t>CA-2020-1082</t>
  </si>
  <si>
    <t>CA-2020-1083</t>
  </si>
  <si>
    <t>CA-2020-1084</t>
  </si>
  <si>
    <t>CA-2020-1085</t>
  </si>
  <si>
    <t>CA-2020-1086</t>
  </si>
  <si>
    <t>CA-2020-1087</t>
  </si>
  <si>
    <t>CA-2020-1088</t>
  </si>
  <si>
    <t>CA-2020-1089</t>
  </si>
  <si>
    <t>CA-2020-1090</t>
  </si>
  <si>
    <t>CA-2020-1091</t>
  </si>
  <si>
    <t>CA-2020-1092</t>
  </si>
  <si>
    <t>CA-2020-1093</t>
  </si>
  <si>
    <t>CA-2020-1094</t>
  </si>
  <si>
    <t>CA-2020-1095</t>
  </si>
  <si>
    <t>CA-2020-1096</t>
  </si>
  <si>
    <t>CA-2020-1097</t>
  </si>
  <si>
    <t>CA-2020-1098</t>
  </si>
  <si>
    <t>CA-2020-1099</t>
  </si>
  <si>
    <t>CA-2020-1100</t>
  </si>
  <si>
    <t>CA-2020-1101</t>
  </si>
  <si>
    <t>CA-2020-1102</t>
  </si>
  <si>
    <t>CA-2020-1103</t>
  </si>
  <si>
    <t>CA-2020-1104</t>
  </si>
  <si>
    <t>CA-2020-1105</t>
  </si>
  <si>
    <t>CA-2020-1106</t>
  </si>
  <si>
    <t>CA-2020-1107</t>
  </si>
  <si>
    <t>CA-2020-1108</t>
  </si>
  <si>
    <t>CA-2020-1109</t>
  </si>
  <si>
    <t>CA-2020-1110</t>
  </si>
  <si>
    <t>CA-2020-1111</t>
  </si>
  <si>
    <t>CA-2020-1112</t>
  </si>
  <si>
    <t>CA-2020-1113</t>
  </si>
  <si>
    <t>CA-2020-1114</t>
  </si>
  <si>
    <t>CA-2020-1115</t>
  </si>
  <si>
    <t>CA-2020-1116</t>
  </si>
  <si>
    <t>CA-2020-1117</t>
  </si>
  <si>
    <t>CA-2020-1118</t>
  </si>
  <si>
    <t>CA-2020-1119</t>
  </si>
  <si>
    <t>CA-2020-1120</t>
  </si>
  <si>
    <t>CA-2020-1121</t>
  </si>
  <si>
    <t>CA-2020-1122</t>
  </si>
  <si>
    <t>CA-2020-1123</t>
  </si>
  <si>
    <t>CA-2020-1124</t>
  </si>
  <si>
    <t>CA-2020-1125</t>
  </si>
  <si>
    <t>CA-2020-1126</t>
  </si>
  <si>
    <t>CA-2020-1127</t>
  </si>
  <si>
    <t>CA-2020-1128</t>
  </si>
  <si>
    <t>CA-2020-1129</t>
  </si>
  <si>
    <t>CA-2020-1130</t>
  </si>
  <si>
    <t>CA-2020-1131</t>
  </si>
  <si>
    <t>CA-2020-1132</t>
  </si>
  <si>
    <t>CA-2020-1133</t>
  </si>
  <si>
    <t>CA-2020-1134</t>
  </si>
  <si>
    <t>CA-2020-1135</t>
  </si>
  <si>
    <t>CA-2020-1136</t>
  </si>
  <si>
    <t>CA-2020-1137</t>
  </si>
  <si>
    <t>CA-2020-1138</t>
  </si>
  <si>
    <t>CA-2020-1139</t>
  </si>
  <si>
    <t>CA-2020-1140</t>
  </si>
  <si>
    <t>CA-2020-1141</t>
  </si>
  <si>
    <t>CA-2020-1142</t>
  </si>
  <si>
    <t>CA-2020-1143</t>
  </si>
  <si>
    <t>CA-2020-1144</t>
  </si>
  <si>
    <t>CA-2020-1145</t>
  </si>
  <si>
    <t>CA-2020-1146</t>
  </si>
  <si>
    <t>CA-2020-1147</t>
  </si>
  <si>
    <t>CA-2020-1148</t>
  </si>
  <si>
    <t>CA-2020-1149</t>
  </si>
  <si>
    <t>CA-2020-1150</t>
  </si>
  <si>
    <t>CA-2020-1151</t>
  </si>
  <si>
    <t>CA-2020-1152</t>
  </si>
  <si>
    <t>CA-2020-1153</t>
  </si>
  <si>
    <t>CA-2020-1154</t>
  </si>
  <si>
    <t>CA-2020-1155</t>
  </si>
  <si>
    <t>CA-2020-1156</t>
  </si>
  <si>
    <t>CA-2020-1157</t>
  </si>
  <si>
    <t>CA-2020-1158</t>
  </si>
  <si>
    <t>CA-2020-1159</t>
  </si>
  <si>
    <t>CA-2020-1160</t>
  </si>
  <si>
    <t>CA-2020-1161</t>
  </si>
  <si>
    <t>CA-2020-1162</t>
  </si>
  <si>
    <t>CA-2020-1163</t>
  </si>
  <si>
    <t>CA-2020-1164</t>
  </si>
  <si>
    <t>CA-2020-1165</t>
  </si>
  <si>
    <t>CA-2020-1166</t>
  </si>
  <si>
    <t>CA-2020-1167</t>
  </si>
  <si>
    <t>CA-2020-1168</t>
  </si>
  <si>
    <t>CA-2020-1169</t>
  </si>
  <si>
    <t>CA-2020-1170</t>
  </si>
  <si>
    <t>CA-2020-1171</t>
  </si>
  <si>
    <t>CA-2020-1172</t>
  </si>
  <si>
    <t>CA-2020-1173</t>
  </si>
  <si>
    <t>CA-2020-1174</t>
  </si>
  <si>
    <t>CA-2020-1175</t>
  </si>
  <si>
    <t>CA-2020-1176</t>
  </si>
  <si>
    <t>CA-2020-1177</t>
  </si>
  <si>
    <t>CA-2020-1178</t>
  </si>
  <si>
    <t>CA-2020-1179</t>
  </si>
  <si>
    <t>CA-2020-1180</t>
  </si>
  <si>
    <t>CA-2020-1181</t>
  </si>
  <si>
    <t>CA-2020-1182</t>
  </si>
  <si>
    <t>CA-2020-1183</t>
  </si>
  <si>
    <t>CA-2020-1184</t>
  </si>
  <si>
    <t>CA-2020-1185</t>
  </si>
  <si>
    <t>CA-2020-1186</t>
  </si>
  <si>
    <t>CA-2020-1187</t>
  </si>
  <si>
    <t>CA-2020-1188</t>
  </si>
  <si>
    <t>CA-2020-1189</t>
  </si>
  <si>
    <t>CA-2020-1190</t>
  </si>
  <si>
    <t>CA-2020-1191</t>
  </si>
  <si>
    <t>CA-2020-1192</t>
  </si>
  <si>
    <t>CA-2020-1193</t>
  </si>
  <si>
    <t>CA-2020-1194</t>
  </si>
  <si>
    <t>CA-2020-1195</t>
  </si>
  <si>
    <t>CA-2020-1196</t>
  </si>
  <si>
    <t>CA-2020-1197</t>
  </si>
  <si>
    <t>CA-2020-1198</t>
  </si>
  <si>
    <t>CA-2020-1199</t>
  </si>
  <si>
    <t>CA-2020-1200</t>
  </si>
  <si>
    <t>2020-08-12</t>
  </si>
  <si>
    <t>2023-03-20</t>
  </si>
  <si>
    <t>2023-10-22</t>
  </si>
  <si>
    <t>2020-01-05</t>
  </si>
  <si>
    <t>2023-08-02</t>
  </si>
  <si>
    <t>2023-07-23</t>
  </si>
  <si>
    <t>2022-11-16</t>
  </si>
  <si>
    <t>2023-03-25</t>
  </si>
  <si>
    <t>2021-10-03</t>
  </si>
  <si>
    <t>2022-01-11</t>
  </si>
  <si>
    <t>2020-02-09</t>
  </si>
  <si>
    <t>2022-12-04</t>
  </si>
  <si>
    <t>2022-04-24</t>
  </si>
  <si>
    <t>2022-03-23</t>
  </si>
  <si>
    <t>2020-09-22</t>
  </si>
  <si>
    <t>2021-04-02</t>
  </si>
  <si>
    <t>2020-02-20</t>
  </si>
  <si>
    <t>2023-09-30</t>
  </si>
  <si>
    <t>2022-05-26</t>
  </si>
  <si>
    <t>2020-05-29</t>
  </si>
  <si>
    <t>2020-09-14</t>
  </si>
  <si>
    <t>2021-07-09</t>
  </si>
  <si>
    <t>2022-10-12</t>
  </si>
  <si>
    <t>2023-05-05</t>
  </si>
  <si>
    <t>2021-07-18</t>
  </si>
  <si>
    <t>2020-03-07</t>
  </si>
  <si>
    <t>2023-02-24</t>
  </si>
  <si>
    <t>2021-06-02</t>
  </si>
  <si>
    <t>2023-07-22</t>
  </si>
  <si>
    <t>2021-10-13</t>
  </si>
  <si>
    <t>2021-04-21</t>
  </si>
  <si>
    <t>2020-07-16</t>
  </si>
  <si>
    <t>2022-07-24</t>
  </si>
  <si>
    <t>2021-11-30</t>
  </si>
  <si>
    <t>2021-05-27</t>
  </si>
  <si>
    <t>2022-12-21</t>
  </si>
  <si>
    <t>2023-07-16</t>
  </si>
  <si>
    <t>2023-09-29</t>
  </si>
  <si>
    <t>2021-02-27</t>
  </si>
  <si>
    <t>2023-01-24</t>
  </si>
  <si>
    <t>2020-12-28</t>
  </si>
  <si>
    <t>2020-11-04</t>
  </si>
  <si>
    <t>2022-11-05</t>
  </si>
  <si>
    <t>2022-12-20</t>
  </si>
  <si>
    <t>2023-09-25</t>
  </si>
  <si>
    <t>2023-09-02</t>
  </si>
  <si>
    <t>2023-01-12</t>
  </si>
  <si>
    <t>2022-02-11</t>
  </si>
  <si>
    <t>2022-02-21</t>
  </si>
  <si>
    <t>2022-09-14</t>
  </si>
  <si>
    <t>2022-12-23</t>
  </si>
  <si>
    <t>2022-11-21</t>
  </si>
  <si>
    <t>2022-04-18</t>
  </si>
  <si>
    <t>2022-05-30</t>
  </si>
  <si>
    <t>2021-05-08</t>
  </si>
  <si>
    <t>2022-03-25</t>
  </si>
  <si>
    <t>2023-05-07</t>
  </si>
  <si>
    <t>2020-09-03</t>
  </si>
  <si>
    <t>2023-06-01</t>
  </si>
  <si>
    <t>2021-05-28</t>
  </si>
  <si>
    <t>2020-08-21</t>
  </si>
  <si>
    <t>2020-01-08</t>
  </si>
  <si>
    <t>2020-11-05</t>
  </si>
  <si>
    <t>2023-09-20</t>
  </si>
  <si>
    <t>2023-05-22</t>
  </si>
  <si>
    <t>2023-03-22</t>
  </si>
  <si>
    <t>2023-04-13</t>
  </si>
  <si>
    <t>2021-06-22</t>
  </si>
  <si>
    <t>2021-02-07</t>
  </si>
  <si>
    <t>2022-01-04</t>
  </si>
  <si>
    <t>2022-10-22</t>
  </si>
  <si>
    <t>2020-09-18</t>
  </si>
  <si>
    <t>2020-05-14</t>
  </si>
  <si>
    <t>2020-08-25</t>
  </si>
  <si>
    <t>2022-09-29</t>
  </si>
  <si>
    <t>2023-02-07</t>
  </si>
  <si>
    <t>2022-01-12</t>
  </si>
  <si>
    <t>2020-06-07</t>
  </si>
  <si>
    <t>2023-07-13</t>
  </si>
  <si>
    <t>2023-07-09</t>
  </si>
  <si>
    <t>2021-09-27</t>
  </si>
  <si>
    <t>2022-04-13</t>
  </si>
  <si>
    <t>2020-07-21</t>
  </si>
  <si>
    <t>2021-03-23</t>
  </si>
  <si>
    <t>2020-11-28</t>
  </si>
  <si>
    <t>2022-05-02</t>
  </si>
  <si>
    <t>2021-03-04</t>
  </si>
  <si>
    <t>2021-07-20</t>
  </si>
  <si>
    <t>2020-10-05</t>
  </si>
  <si>
    <t>2021-02-05</t>
  </si>
  <si>
    <t>2021-09-03</t>
  </si>
  <si>
    <t>2020-08-26</t>
  </si>
  <si>
    <t>2021-04-15</t>
  </si>
  <si>
    <t>2021-07-14</t>
  </si>
  <si>
    <t>2020-04-21</t>
  </si>
  <si>
    <t>2020-12-29</t>
  </si>
  <si>
    <t>2021-09-17</t>
  </si>
  <si>
    <t>2022-11-24</t>
  </si>
  <si>
    <t>2021-11-15</t>
  </si>
  <si>
    <t>2021-01-11</t>
  </si>
  <si>
    <t>2020-10-15</t>
  </si>
  <si>
    <t>2022-07-05</t>
  </si>
  <si>
    <t>2021-04-28</t>
  </si>
  <si>
    <t>2023-01-21</t>
  </si>
  <si>
    <t>2021-06-26</t>
  </si>
  <si>
    <t>2021-01-12</t>
  </si>
  <si>
    <t>2021-05-01</t>
  </si>
  <si>
    <t>2022-07-22</t>
  </si>
  <si>
    <t>2020-09-10</t>
  </si>
  <si>
    <t>2022-08-08</t>
  </si>
  <si>
    <t>2020-12-07</t>
  </si>
  <si>
    <t>2020-08-20</t>
  </si>
  <si>
    <t>2021-12-05</t>
  </si>
  <si>
    <t>2021-12-13</t>
  </si>
  <si>
    <t>2020-02-04</t>
  </si>
  <si>
    <t>2021-04-09</t>
  </si>
  <si>
    <t>2020-07-13</t>
  </si>
  <si>
    <t>2022-09-09</t>
  </si>
  <si>
    <t>2021-04-16</t>
  </si>
  <si>
    <t>2021-01-26</t>
  </si>
  <si>
    <t>2021-06-11</t>
  </si>
  <si>
    <t>2023-08-27</t>
  </si>
  <si>
    <t>2022-07-31</t>
  </si>
  <si>
    <t>2021-08-14</t>
  </si>
  <si>
    <t>2021-09-02</t>
  </si>
  <si>
    <t>2020-12-30</t>
  </si>
  <si>
    <t>2023-10-01</t>
  </si>
  <si>
    <t>2023-10-03</t>
  </si>
  <si>
    <t>2020-10-30</t>
  </si>
  <si>
    <t>2020-07-30</t>
  </si>
  <si>
    <t>2020-10-16</t>
  </si>
  <si>
    <t>2021-09-19</t>
  </si>
  <si>
    <t>2020-05-16</t>
  </si>
  <si>
    <t>2023-03-26</t>
  </si>
  <si>
    <t>2022-10-13</t>
  </si>
  <si>
    <t>2022-06-14</t>
  </si>
  <si>
    <t>2022-04-27</t>
  </si>
  <si>
    <t>2020-05-26</t>
  </si>
  <si>
    <t>2023-05-23</t>
  </si>
  <si>
    <t>2021-03-25</t>
  </si>
  <si>
    <t>2022-08-05</t>
  </si>
  <si>
    <t>2020-05-11</t>
  </si>
  <si>
    <t>2022-07-18</t>
  </si>
  <si>
    <t>2023-02-13</t>
  </si>
  <si>
    <t>2022-08-15</t>
  </si>
  <si>
    <t>2022-02-16</t>
  </si>
  <si>
    <t>2021-07-26</t>
  </si>
  <si>
    <t>2021-06-28</t>
  </si>
  <si>
    <t>2021-08-02</t>
  </si>
  <si>
    <t>2023-09-24</t>
  </si>
  <si>
    <t>2022-03-01</t>
  </si>
  <si>
    <t>2021-10-12</t>
  </si>
  <si>
    <t>2020-12-21</t>
  </si>
  <si>
    <t>2021-11-26</t>
  </si>
  <si>
    <t>2022-04-20</t>
  </si>
  <si>
    <t>2020-02-19</t>
  </si>
  <si>
    <t>2022-07-02</t>
  </si>
  <si>
    <t>2023-08-16</t>
  </si>
  <si>
    <t>2020-07-10</t>
  </si>
  <si>
    <t>2021-09-04</t>
  </si>
  <si>
    <t>2022-06-02</t>
  </si>
  <si>
    <t>2022-01-31</t>
  </si>
  <si>
    <t>2021-12-17</t>
  </si>
  <si>
    <t>2021-06-13</t>
  </si>
  <si>
    <t>2021-06-06</t>
  </si>
  <si>
    <t>2023-03-24</t>
  </si>
  <si>
    <t>2023-01-20</t>
  </si>
  <si>
    <t>2022-01-27</t>
  </si>
  <si>
    <t>2022-11-26</t>
  </si>
  <si>
    <t>2021-10-20</t>
  </si>
  <si>
    <t>2021-04-11</t>
  </si>
  <si>
    <t>2023-09-11</t>
  </si>
  <si>
    <t>2023-02-10</t>
  </si>
  <si>
    <t>2022-01-23</t>
  </si>
  <si>
    <t>2022-08-14</t>
  </si>
  <si>
    <t>2021-07-17</t>
  </si>
  <si>
    <t>2021-08-18</t>
  </si>
  <si>
    <t>2020-02-26</t>
  </si>
  <si>
    <t>2020-09-23</t>
  </si>
  <si>
    <t>2022-02-04</t>
  </si>
  <si>
    <t>2021-09-01</t>
  </si>
  <si>
    <t>2020-01-29</t>
  </si>
  <si>
    <t>2021-03-29</t>
  </si>
  <si>
    <t>2021-04-27</t>
  </si>
  <si>
    <t>2023-01-10</t>
  </si>
  <si>
    <t>2023-10-14</t>
  </si>
  <si>
    <t>2020-03-15</t>
  </si>
  <si>
    <t>2022-11-11</t>
  </si>
  <si>
    <t>Standard Class</t>
  </si>
  <si>
    <t>Second Class</t>
  </si>
  <si>
    <t>Same Day</t>
  </si>
  <si>
    <t>First Class</t>
  </si>
  <si>
    <t>Consumer</t>
  </si>
  <si>
    <t>Home Office</t>
  </si>
  <si>
    <t>Corporate</t>
  </si>
  <si>
    <t>East</t>
  </si>
  <si>
    <t>South</t>
  </si>
  <si>
    <t>Central</t>
  </si>
  <si>
    <t>West</t>
  </si>
  <si>
    <t>Furniture</t>
  </si>
  <si>
    <t>Office Supplies</t>
  </si>
  <si>
    <t>Technology</t>
  </si>
  <si>
    <t>Year</t>
  </si>
  <si>
    <t>Month</t>
  </si>
  <si>
    <t>Progit Margin</t>
  </si>
  <si>
    <t>Average Sales</t>
  </si>
  <si>
    <t>Median Sales</t>
  </si>
  <si>
    <t>Standard Dev.of Sales</t>
  </si>
  <si>
    <t>Variance of Sales</t>
  </si>
  <si>
    <t>Range(Max-Min)</t>
  </si>
  <si>
    <t>Row Labels</t>
  </si>
  <si>
    <t>Grand Total</t>
  </si>
  <si>
    <t>Sum of Profit</t>
  </si>
  <si>
    <t>Average of Sales</t>
  </si>
  <si>
    <t>(All)</t>
  </si>
  <si>
    <t xml:space="preserve">Correlation Check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</si>
</sst>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m/d/yy;@"/>
    <numFmt numFmtId="172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4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1" fillId="2" borderId="0" xfId="0" applyFont="1" applyFill="1"/>
    <xf numFmtId="4" fontId="0" fillId="0" borderId="0" xfId="0" applyNumberFormat="1"/>
    <xf numFmtId="172" fontId="0" fillId="0" borderId="0" xfId="0" applyNumberFormat="1"/>
    <xf numFmtId="49" fontId="1" fillId="2" borderId="1" xfId="0" applyNumberFormat="1" applyFont="1" applyFill="1" applyBorder="1" applyAlignment="1">
      <alignment horizontal="center" vertical="top" shrinkToFit="1"/>
    </xf>
    <xf numFmtId="49" fontId="0" fillId="2" borderId="0" xfId="0" applyNumberFormat="1" applyFont="1" applyFill="1" applyAlignment="1">
      <alignment shrinkToFit="1"/>
    </xf>
    <xf numFmtId="49" fontId="1" fillId="2" borderId="0" xfId="0" applyNumberFormat="1" applyFont="1" applyFill="1" applyAlignment="1">
      <alignment shrinkToFi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[Cleaned_Superstore.xlsx]Summary Statistics!PivotTable1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Statistics'!$B$3</c:f>
              <c:strCache>
                <c:ptCount val="1"/>
                <c:pt idx="0">
                  <c:v>Average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Statistics'!$A$4:$A$7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Statistics'!$B$4:$B$7</c:f>
              <c:numCache>
                <c:formatCode>General</c:formatCode>
                <c:ptCount val="3"/>
                <c:pt idx="0">
                  <c:v>996.91417910447785</c:v>
                </c:pt>
                <c:pt idx="1">
                  <c:v>1011.3591549295772</c:v>
                </c:pt>
                <c:pt idx="2">
                  <c:v>1059.6677419354837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DBA-ADB5-35C45AB5CE5A}"/>
            </c:ext>
          </c:extLst>
        </c:ser>
        <c:ser>
          <c:idx val="1"/>
          <c:order val="1"/>
          <c:tx>
            <c:strRef>
              <c:f>'Summary Statistics'!$C$3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Statistics'!$A$4:$A$7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Statistics'!$C$4:$C$7</c:f>
              <c:numCache>
                <c:formatCode>General</c:formatCode>
                <c:ptCount val="3"/>
                <c:pt idx="0">
                  <c:v>5975.37</c:v>
                </c:pt>
                <c:pt idx="1">
                  <c:v>6205.8799999999992</c:v>
                </c:pt>
                <c:pt idx="2">
                  <c:v>7054.69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5-4DBA-ADB5-35C45AB5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306079"/>
        <c:axId val="369322879"/>
      </c:barChart>
      <c:catAx>
        <c:axId val="3693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22879"/>
        <c:crosses val="autoZero"/>
        <c:auto val="1"/>
        <c:lblAlgn val="ctr"/>
        <c:lblOffset val="100"/>
        <c:noMultiLvlLbl val="0"/>
      </c:catAx>
      <c:valAx>
        <c:axId val="3693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68580</xdr:rowOff>
    </xdr:from>
    <xdr:to>
      <xdr:col>4</xdr:col>
      <xdr:colOff>579120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9F184-8B8C-7AD6-1000-39AA6DC08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mkilla none" refreshedDate="45983.163403240738" createdVersion="8" refreshedVersion="8" minRefreshableVersion="3" recordCount="202" xr:uid="{1B54596E-32FB-4E16-84A6-BA91B4612979}">
  <cacheSource type="worksheet">
    <worksheetSource ref="A1:R1048576" sheet="Superstore"/>
  </cacheSource>
  <cacheFields count="18">
    <cacheField name="Order ID" numFmtId="49">
      <sharedItems containsBlank="1"/>
    </cacheField>
    <cacheField name="Order Date" numFmtId="0">
      <sharedItems containsBlank="1"/>
    </cacheField>
    <cacheField name="Ship Mode" numFmtId="49">
      <sharedItems containsBlank="1"/>
    </cacheField>
    <cacheField name="Segment" numFmtId="49">
      <sharedItems containsBlank="1" count="4">
        <s v="Home Office"/>
        <s v="Corporate"/>
        <s v="Consumer"/>
        <m/>
      </sharedItems>
    </cacheField>
    <cacheField name="Region" numFmtId="49">
      <sharedItems containsBlank="1"/>
    </cacheField>
    <cacheField name="Category" numFmtId="49">
      <sharedItems containsBlank="1" count="4">
        <s v="Technology"/>
        <s v="Furniture"/>
        <s v="Office Supplies"/>
        <m/>
      </sharedItems>
    </cacheField>
    <cacheField name="Sales" numFmtId="2">
      <sharedItems containsString="0" containsBlank="1" containsNumber="1" minValue="19.16" maxValue="1993.44"/>
    </cacheField>
    <cacheField name="Quantity" numFmtId="1">
      <sharedItems containsString="0" containsBlank="1" containsNumber="1" containsInteger="1" minValue="1" maxValue="10"/>
    </cacheField>
    <cacheField name="Discount" numFmtId="10">
      <sharedItems containsString="0" containsBlank="1" containsNumber="1" minValue="0" maxValue="0.3"/>
    </cacheField>
    <cacheField name="Profit" numFmtId="2">
      <sharedItems containsString="0" containsBlank="1" containsNumber="1" minValue="-71.59" maxValue="434.16"/>
    </cacheField>
    <cacheField name="Year" numFmtId="0">
      <sharedItems containsString="0" containsBlank="1" containsNumber="1" containsInteger="1" minValue="2020" maxValue="2023"/>
    </cacheField>
    <cacheField name="Month" numFmtId="0">
      <sharedItems containsBlank="1" count="13">
        <s v="Feb"/>
        <s v="Jul"/>
        <s v="May"/>
        <s v="Jan"/>
        <s v="Aug"/>
        <s v="Dec"/>
        <s v="Jun"/>
        <s v="Apr"/>
        <s v="Sep"/>
        <s v="Oct"/>
        <s v="Mar"/>
        <s v="Nov"/>
        <m/>
      </sharedItems>
    </cacheField>
    <cacheField name="Progit Margin" numFmtId="0">
      <sharedItems containsString="0" containsBlank="1" containsNumber="1" minValue="-4.955735180908391E-2" maxValue="0.24952204476602249"/>
    </cacheField>
    <cacheField name="Average Sales" numFmtId="4">
      <sharedItems containsString="0" containsBlank="1" containsNumber="1" minValue="690.87882352941142" maxValue="1839.47"/>
    </cacheField>
    <cacheField name="Median Sales" numFmtId="4">
      <sharedItems containsString="0" containsBlank="1" containsNumber="1" minValue="595.27" maxValue="1839.47"/>
    </cacheField>
    <cacheField name="Standard Dev.of Sales" numFmtId="172">
      <sharedItems containsBlank="1" containsMixedTypes="1" containsNumber="1" minValue="293.30965570536472" maxValue="605.89483090884755"/>
    </cacheField>
    <cacheField name="Variance of Sales" numFmtId="0">
      <sharedItems containsBlank="1" containsMixedTypes="1" containsNumber="1" minValue="86030.554129999597" maxValue="367108.54612206103"/>
    </cacheField>
    <cacheField name="Range(Max-Min)" numFmtId="0">
      <sharedItems containsString="0" containsBlank="1" containsNumber="1" minValue="0" maxValue="1974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CA-2020-1069"/>
    <s v="2021-02-07"/>
    <s v="First Class"/>
    <x v="0"/>
    <s v="South"/>
    <x v="0"/>
    <n v="1943.1"/>
    <n v="1"/>
    <n v="0.3"/>
    <n v="434.16"/>
    <n v="2021"/>
    <x v="0"/>
    <n v="0.2234367762853173"/>
    <n v="1021.4957500000003"/>
    <n v="1001.51"/>
    <n v="571.65307387153211"/>
    <n v="326787.23686677142"/>
    <n v="1974.28"/>
  </r>
  <r>
    <s v="CA-2020-1025"/>
    <s v="2021-07-18"/>
    <s v="First Class"/>
    <x v="0"/>
    <s v="Central"/>
    <x v="1"/>
    <n v="1927.54"/>
    <n v="3"/>
    <n v="0"/>
    <n v="433.22"/>
    <n v="2021"/>
    <x v="1"/>
    <n v="0.22475279371634313"/>
    <n v="1016.8645728643216"/>
    <n v="998.14"/>
    <n v="569.32104535005431"/>
    <n v="324126.45267847856"/>
    <n v="1974.28"/>
  </r>
  <r>
    <s v="CA-2020-1024"/>
    <s v="2023-05-05"/>
    <s v="Same Day"/>
    <x v="1"/>
    <s v="West"/>
    <x v="2"/>
    <n v="1874.89"/>
    <n v="7"/>
    <n v="0.2"/>
    <n v="419.76"/>
    <n v="2023"/>
    <x v="2"/>
    <n v="0.22388513459456286"/>
    <n v="1012.2652020202022"/>
    <n v="987.9"/>
    <n v="567.04559554332661"/>
    <n v="321540.70742508589"/>
    <n v="1974.28"/>
  </r>
  <r>
    <s v="CA-2020-1108"/>
    <s v="2021-01-12"/>
    <s v="Same Day"/>
    <x v="2"/>
    <s v="Central"/>
    <x v="0"/>
    <n v="1678.71"/>
    <n v="4"/>
    <n v="0"/>
    <n v="413.9"/>
    <n v="2021"/>
    <x v="3"/>
    <n v="0.24655836922398744"/>
    <n v="1007.8863959390865"/>
    <n v="977.66"/>
    <n v="565.12424385217753"/>
    <n v="319365.4109894954"/>
    <n v="1974.28"/>
  </r>
  <r>
    <s v="CA-2020-1112"/>
    <s v="2022-08-08"/>
    <s v="Standard Class"/>
    <x v="0"/>
    <s v="East"/>
    <x v="0"/>
    <n v="1803.43"/>
    <n v="6"/>
    <n v="0.3"/>
    <n v="397.61"/>
    <n v="2022"/>
    <x v="4"/>
    <n v="0.22047431838219392"/>
    <n v="1004.4638265306126"/>
    <n v="974.12"/>
    <n v="564.52076478731169"/>
    <n v="318683.69387605129"/>
    <n v="1974.28"/>
  </r>
  <r>
    <s v="CA-2020-1157"/>
    <s v="2020-12-21"/>
    <s v="Second Class"/>
    <x v="1"/>
    <s v="Central"/>
    <x v="2"/>
    <n v="1955.73"/>
    <n v="1"/>
    <n v="0.2"/>
    <n v="389.42"/>
    <n v="2020"/>
    <x v="5"/>
    <n v="0.19911746508976189"/>
    <n v="1000.3665641025644"/>
    <n v="970.58"/>
    <n v="563.04446632459826"/>
    <n v="317019.07105875167"/>
    <n v="1974.28"/>
  </r>
  <r>
    <s v="CA-2020-1068"/>
    <s v="2021-06-22"/>
    <s v="First Class"/>
    <x v="2"/>
    <s v="Central"/>
    <x v="0"/>
    <n v="1953.24"/>
    <n v="5"/>
    <n v="0"/>
    <n v="385.96"/>
    <n v="2021"/>
    <x v="6"/>
    <n v="0.19759988531875242"/>
    <n v="995.44201030927866"/>
    <n v="961.28"/>
    <n v="560.2750793304441"/>
    <n v="313908.16451873543"/>
    <n v="1974.28"/>
  </r>
  <r>
    <s v="CA-2020-1016"/>
    <s v="2021-04-02"/>
    <s v="Second Class"/>
    <x v="0"/>
    <s v="South"/>
    <x v="1"/>
    <n v="1543"/>
    <n v="2"/>
    <n v="0.1"/>
    <n v="380.27"/>
    <n v="2021"/>
    <x v="7"/>
    <n v="0.24644847699287101"/>
    <n v="990.47932642487081"/>
    <n v="951.98"/>
    <n v="557.44088585328745"/>
    <n v="310740.3412208978"/>
    <n v="1974.28"/>
  </r>
  <r>
    <s v="CA-2020-1167"/>
    <s v="2021-09-02"/>
    <s v="Standard Class"/>
    <x v="2"/>
    <s v="East"/>
    <x v="1"/>
    <n v="1868.4"/>
    <n v="6"/>
    <n v="0.1"/>
    <n v="373.61"/>
    <n v="2021"/>
    <x v="8"/>
    <n v="0.19996253478912437"/>
    <n v="987.60161458333369"/>
    <n v="948.06999999999994"/>
    <n v="557.45906535980669"/>
    <n v="310760.60955182917"/>
    <n v="1974.28"/>
  </r>
  <r>
    <s v="CA-2020-1083"/>
    <s v="2020-07-21"/>
    <s v="Standard Class"/>
    <x v="0"/>
    <s v="West"/>
    <x v="2"/>
    <n v="1743.7"/>
    <n v="6"/>
    <n v="0.3"/>
    <n v="371.84"/>
    <n v="2020"/>
    <x v="1"/>
    <n v="0.21324769169008428"/>
    <n v="982.99010471204213"/>
    <n v="944.16"/>
    <n v="555.24015106882916"/>
    <n v="308291.6253589362"/>
    <n v="1974.28"/>
  </r>
  <r>
    <s v="CA-2020-1082"/>
    <s v="2022-04-13"/>
    <s v="Second Class"/>
    <x v="2"/>
    <s v="South"/>
    <x v="2"/>
    <n v="1431.71"/>
    <n v="7"/>
    <n v="0.1"/>
    <n v="353.62"/>
    <n v="2022"/>
    <x v="7"/>
    <n v="0.24699135998211927"/>
    <n v="978.98636842105293"/>
    <n v="940.01"/>
    <n v="553.93581462838415"/>
    <n v="306844.8867280116"/>
    <n v="1974.28"/>
  </r>
  <r>
    <s v="CA-2020-1023"/>
    <s v="2022-10-12"/>
    <s v="Standard Class"/>
    <x v="1"/>
    <s v="West"/>
    <x v="0"/>
    <n v="1660.31"/>
    <n v="8"/>
    <n v="0"/>
    <n v="339.29"/>
    <n v="2022"/>
    <x v="9"/>
    <n v="0.20435340388240752"/>
    <n v="976.59100529100556"/>
    <n v="935.86"/>
    <n v="554.41957605818459"/>
    <n v="307381.06631653709"/>
    <n v="1974.28"/>
  </r>
  <r>
    <s v="CA-2020-1033"/>
    <s v="2022-07-24"/>
    <s v="Second Class"/>
    <x v="1"/>
    <s v="East"/>
    <x v="2"/>
    <n v="1373.46"/>
    <n v="4"/>
    <n v="0"/>
    <n v="324.87"/>
    <n v="2022"/>
    <x v="1"/>
    <n v="0.23653400899916999"/>
    <n v="972.95420212765976"/>
    <n v="935.81500000000005"/>
    <n v="553.63496078086075"/>
    <n v="306511.66979882517"/>
    <n v="1974.28"/>
  </r>
  <r>
    <s v="CA-2020-1111"/>
    <s v="2020-09-10"/>
    <s v="Second Class"/>
    <x v="0"/>
    <s v="East"/>
    <x v="1"/>
    <n v="1573.98"/>
    <n v="2"/>
    <n v="0.1"/>
    <n v="304.52999999999997"/>
    <n v="2020"/>
    <x v="8"/>
    <n v="0.19347768078374564"/>
    <n v="970.81245989304841"/>
    <n v="935.77"/>
    <n v="554.33976799135758"/>
    <n v="307292.57837671216"/>
    <n v="1974.28"/>
  </r>
  <r>
    <s v="CA-2020-1088"/>
    <s v="2022-03-25"/>
    <s v="Same Day"/>
    <x v="1"/>
    <s v="South"/>
    <x v="1"/>
    <n v="1230.77"/>
    <n v="1"/>
    <n v="0.1"/>
    <n v="297.88"/>
    <n v="2022"/>
    <x v="10"/>
    <n v="0.24202734873290704"/>
    <n v="967.56962365591437"/>
    <n v="927.82999999999993"/>
    <n v="554.05460031004372"/>
    <n v="306976.50012472225"/>
    <n v="1974.28"/>
  </r>
  <r>
    <s v="CA-2020-1116"/>
    <s v="2021-12-13"/>
    <s v="Same Day"/>
    <x v="2"/>
    <s v="East"/>
    <x v="0"/>
    <n v="1860.09"/>
    <n v="7"/>
    <n v="0.2"/>
    <n v="291.70999999999998"/>
    <n v="2021"/>
    <x v="5"/>
    <n v="0.15682574499083377"/>
    <n v="966.14691891891914"/>
    <n v="919.89"/>
    <n v="555.21736650448247"/>
    <n v="308266.32406817278"/>
    <n v="1974.28"/>
  </r>
  <r>
    <s v="CA-2020-1038"/>
    <s v="2023-09-29"/>
    <s v="Standard Class"/>
    <x v="0"/>
    <s v="South"/>
    <x v="1"/>
    <n v="1993.14"/>
    <n v="5"/>
    <n v="0.1"/>
    <n v="287.14"/>
    <n v="2023"/>
    <x v="8"/>
    <n v="0.14406414000020068"/>
    <n v="961.28853260869585"/>
    <n v="911.03499999999997"/>
    <n v="552.77504725847177"/>
    <n v="305560.25287160568"/>
    <n v="1974.28"/>
  </r>
  <r>
    <s v="CA-2020-1148"/>
    <s v="2023-02-13"/>
    <s v="Second Class"/>
    <x v="1"/>
    <s v="South"/>
    <x v="0"/>
    <n v="1357.44"/>
    <n v="4"/>
    <n v="0.1"/>
    <n v="282.04000000000002"/>
    <n v="2023"/>
    <x v="0"/>
    <n v="0.20777345591702029"/>
    <n v="955.6500000000002"/>
    <n v="902.18"/>
    <n v="548.96000923524537"/>
    <n v="301357.09173956071"/>
    <n v="1974.28"/>
  </r>
  <r>
    <s v="CA-2020-1194"/>
    <s v="2021-04-27"/>
    <s v="Same Day"/>
    <x v="1"/>
    <s v="Central"/>
    <x v="0"/>
    <n v="1883.96"/>
    <n v="1"/>
    <n v="0.2"/>
    <n v="279.29000000000002"/>
    <n v="2021"/>
    <x v="7"/>
    <n v="0.14824624726639632"/>
    <n v="953.44236263736286"/>
    <n v="901.97499999999991"/>
    <n v="549.65920373764607"/>
    <n v="302125.24025350314"/>
    <n v="1974.28"/>
  </r>
  <r>
    <s v="CA-2020-1019"/>
    <s v="2022-05-26"/>
    <s v="First Class"/>
    <x v="0"/>
    <s v="South"/>
    <x v="2"/>
    <n v="1329.95"/>
    <n v="8"/>
    <n v="0.2"/>
    <n v="273.77999999999997"/>
    <n v="2022"/>
    <x v="2"/>
    <n v="0.20585736305876157"/>
    <n v="948.30138121546986"/>
    <n v="901.77"/>
    <n v="546.7785537865027"/>
    <n v="298966.78688085941"/>
    <n v="1974.28"/>
  </r>
  <r>
    <s v="CA-2020-1081"/>
    <s v="2021-09-27"/>
    <s v="First Class"/>
    <x v="0"/>
    <s v="East"/>
    <x v="0"/>
    <n v="1562.29"/>
    <n v="7"/>
    <n v="0.2"/>
    <n v="266.58999999999997"/>
    <n v="2021"/>
    <x v="8"/>
    <n v="0.17064053408778138"/>
    <n v="946.18111111111125"/>
    <n v="900.8"/>
    <n v="547.55707731449706"/>
    <n v="299818.75291719416"/>
    <n v="1974.28"/>
  </r>
  <r>
    <s v="CA-2020-1014"/>
    <s v="2022-03-23"/>
    <s v="Standard Class"/>
    <x v="1"/>
    <s v="West"/>
    <x v="0"/>
    <n v="1199.48"/>
    <n v="5"/>
    <n v="0.2"/>
    <n v="262.42"/>
    <n v="2022"/>
    <x v="10"/>
    <n v="0.21877813719278355"/>
    <n v="942.73916201117345"/>
    <n v="899.83"/>
    <n v="547.13680680272478"/>
    <n v="299358.68535828224"/>
    <n v="1974.28"/>
  </r>
  <r>
    <s v="CA-2020-1191"/>
    <s v="2020-01-29"/>
    <s v="Second Class"/>
    <x v="0"/>
    <s v="East"/>
    <x v="2"/>
    <n v="1901.5"/>
    <n v="2"/>
    <n v="0.2"/>
    <n v="256.14999999999998"/>
    <n v="2020"/>
    <x v="3"/>
    <n v="0.13470943991585588"/>
    <n v="941.29679775280943"/>
    <n v="897.22"/>
    <n v="548.33883614126819"/>
    <n v="300675.47922076058"/>
    <n v="1974.28"/>
  </r>
  <r>
    <s v="CA-2020-1084"/>
    <s v="2021-03-23"/>
    <s v="Second Class"/>
    <x v="1"/>
    <s v="South"/>
    <x v="1"/>
    <n v="1095.6300000000001"/>
    <n v="6"/>
    <n v="0"/>
    <n v="246.4"/>
    <n v="2021"/>
    <x v="10"/>
    <n v="0.22489344030375216"/>
    <n v="935.87192090395524"/>
    <n v="894.61"/>
    <n v="545.08319135886984"/>
    <n v="297115.68550197035"/>
    <n v="1974.28"/>
  </r>
  <r>
    <s v="CA-2020-1079"/>
    <s v="2023-07-13"/>
    <s v="Second Class"/>
    <x v="1"/>
    <s v="South"/>
    <x v="1"/>
    <n v="1584.15"/>
    <n v="10"/>
    <n v="0.1"/>
    <n v="245.82"/>
    <n v="2023"/>
    <x v="1"/>
    <n v="0.15517469936559036"/>
    <n v="934.96420454545489"/>
    <n v="892.91499999999996"/>
    <n v="546.50417846782443"/>
    <n v="298666.81708279165"/>
    <n v="1974.28"/>
  </r>
  <r>
    <s v="CA-2020-1095"/>
    <s v="2021-07-14"/>
    <s v="Standard Class"/>
    <x v="1"/>
    <s v="South"/>
    <x v="0"/>
    <n v="1053.6500000000001"/>
    <n v="4"/>
    <n v="0.2"/>
    <n v="242.59"/>
    <n v="2021"/>
    <x v="1"/>
    <n v="0.23023774498173016"/>
    <n v="931.25457142857181"/>
    <n v="891.22"/>
    <n v="545.84555598147756"/>
    <n v="297947.37098472833"/>
    <n v="1974.28"/>
  </r>
  <r>
    <s v="CA-2020-1166"/>
    <s v="2022-01-31"/>
    <s v="Second Class"/>
    <x v="1"/>
    <s v="West"/>
    <x v="2"/>
    <n v="1242.4000000000001"/>
    <n v="5"/>
    <n v="0.1"/>
    <n v="237.19"/>
    <n v="2022"/>
    <x v="3"/>
    <n v="0.19091274951706375"/>
    <n v="930.55114942528769"/>
    <n v="889.75"/>
    <n v="547.34131870389672"/>
    <n v="299582.51916052063"/>
    <n v="1974.28"/>
  </r>
  <r>
    <s v="CA-2020-1181"/>
    <s v="2022-01-23"/>
    <s v="Same Day"/>
    <x v="2"/>
    <s v="East"/>
    <x v="0"/>
    <n v="1759.04"/>
    <n v="3"/>
    <n v="0"/>
    <n v="236.4"/>
    <n v="2022"/>
    <x v="3"/>
    <n v="0.13439148626523559"/>
    <n v="928.74855491329515"/>
    <n v="888.28"/>
    <n v="548.41189309603624"/>
    <n v="300755.60448917834"/>
    <n v="1974.28"/>
  </r>
  <r>
    <s v="CA-2020-1174"/>
    <s v="2023-04-13"/>
    <s v="Same Day"/>
    <x v="1"/>
    <s v="West"/>
    <x v="0"/>
    <n v="1923.38"/>
    <n v="1"/>
    <n v="0.1"/>
    <n v="235.16"/>
    <n v="2023"/>
    <x v="7"/>
    <n v="0.12226393120444218"/>
    <n v="923.92127906976771"/>
    <n v="886.88499999999999"/>
    <n v="546.31445672685936"/>
    <n v="298459.4856287635"/>
    <n v="1974.28"/>
  </r>
  <r>
    <s v="CA-2020-1092"/>
    <s v="2021-09-03"/>
    <s v="Second Class"/>
    <x v="2"/>
    <s v="East"/>
    <x v="2"/>
    <n v="1417.33"/>
    <n v="1"/>
    <n v="0"/>
    <n v="227.24"/>
    <n v="2021"/>
    <x v="8"/>
    <n v="0.16032963388907312"/>
    <n v="918.07649122807049"/>
    <n v="885.49"/>
    <n v="542.49864561226809"/>
    <n v="294304.78049114521"/>
    <n v="1974.28"/>
  </r>
  <r>
    <s v="CA-2020-1134"/>
    <s v="2021-09-19"/>
    <s v="Same Day"/>
    <x v="2"/>
    <s v="East"/>
    <x v="1"/>
    <n v="1818.47"/>
    <n v="5"/>
    <n v="0.1"/>
    <n v="226.2"/>
    <n v="2021"/>
    <x v="8"/>
    <n v="0.12439028413996381"/>
    <n v="915.13970588235327"/>
    <n v="877.12"/>
    <n v="542.73628681356195"/>
    <n v="294562.67702417297"/>
    <n v="1974.28"/>
  </r>
  <r>
    <s v="CA-2020-1199"/>
    <s v="2021-09-02"/>
    <s v="Standard Class"/>
    <x v="1"/>
    <s v="South"/>
    <x v="2"/>
    <n v="1401.78"/>
    <n v="10"/>
    <n v="0.3"/>
    <n v="225.43"/>
    <n v="2021"/>
    <x v="8"/>
    <n v="0.16081696129207151"/>
    <n v="909.79455621301793"/>
    <n v="868.75"/>
    <n v="539.84267087069702"/>
    <n v="291430.1092928077"/>
    <n v="1974.28"/>
  </r>
  <r>
    <s v="CA-2020-1091"/>
    <s v="2021-02-05"/>
    <s v="Second Class"/>
    <x v="1"/>
    <s v="Central"/>
    <x v="0"/>
    <n v="1219.52"/>
    <n v="9"/>
    <n v="0.1"/>
    <n v="219.94"/>
    <n v="2021"/>
    <x v="0"/>
    <n v="0.18034964576226711"/>
    <n v="906.86607142857156"/>
    <n v="863.58500000000004"/>
    <n v="540.10848274044599"/>
    <n v="291717.17312818661"/>
    <n v="1974.28"/>
  </r>
  <r>
    <s v="CA-2020-1140"/>
    <s v="2020-05-26"/>
    <s v="Same Day"/>
    <x v="1"/>
    <s v="Central"/>
    <x v="1"/>
    <n v="935.86"/>
    <n v="3"/>
    <n v="0.1"/>
    <n v="211.81"/>
    <n v="2020"/>
    <x v="2"/>
    <n v="0.22632658731006774"/>
    <n v="904.99389221556908"/>
    <n v="858.42"/>
    <n v="541.18583589272146"/>
    <n v="292882.10897090368"/>
    <n v="1974.28"/>
  </r>
  <r>
    <s v="CA-2020-1161"/>
    <s v="2022-07-02"/>
    <s v="Standard Class"/>
    <x v="1"/>
    <s v="South"/>
    <x v="1"/>
    <n v="1548.19"/>
    <n v="8"/>
    <n v="0.2"/>
    <n v="194.97"/>
    <n v="2022"/>
    <x v="1"/>
    <n v="0.12593415536852712"/>
    <n v="904.80795180722907"/>
    <n v="845.41499999999996"/>
    <n v="542.81796509708749"/>
    <n v="294651.34323214291"/>
    <n v="1974.28"/>
  </r>
  <r>
    <s v="CA-2020-1173"/>
    <s v="2023-01-20"/>
    <s v="Same Day"/>
    <x v="0"/>
    <s v="Central"/>
    <x v="0"/>
    <n v="1945.2"/>
    <n v="5"/>
    <n v="0.3"/>
    <n v="193.81"/>
    <n v="2023"/>
    <x v="3"/>
    <n v="9.9634998971828093E-2"/>
    <n v="900.90866666666659"/>
    <n v="832.41"/>
    <n v="542.133446150297"/>
    <n v="293908.67343479698"/>
    <n v="1974.28"/>
  </r>
  <r>
    <s v="CA-2020-1012"/>
    <s v="2022-12-04"/>
    <s v="First Class"/>
    <x v="2"/>
    <s v="South"/>
    <x v="0"/>
    <n v="1937.43"/>
    <n v="3"/>
    <n v="0.3"/>
    <n v="191.83"/>
    <n v="2022"/>
    <x v="5"/>
    <n v="9.9012609487826655E-2"/>
    <n v="894.54103658536587"/>
    <n v="830.66"/>
    <n v="537.56910466614158"/>
    <n v="288980.54229155707"/>
    <n v="1974.28"/>
  </r>
  <r>
    <s v="CA-2020-1143"/>
    <s v="2021-03-25"/>
    <s v="Second Class"/>
    <x v="1"/>
    <s v="West"/>
    <x v="0"/>
    <n v="1249.49"/>
    <n v="1"/>
    <n v="0.3"/>
    <n v="177.29"/>
    <n v="2021"/>
    <x v="10"/>
    <n v="0.14188989107555883"/>
    <n v="888.1429447852762"/>
    <n v="828.91"/>
    <n v="532.92541404911742"/>
    <n v="284009.4969394232"/>
    <n v="1974.28"/>
  </r>
  <r>
    <s v="CA-2020-1176"/>
    <s v="2022-11-26"/>
    <s v="Same Day"/>
    <x v="0"/>
    <s v="Central"/>
    <x v="2"/>
    <n v="1120.8399999999999"/>
    <n v="7"/>
    <n v="0.2"/>
    <n v="175.67"/>
    <n v="2022"/>
    <x v="11"/>
    <n v="0.1567306662859998"/>
    <n v="885.91240740740761"/>
    <n v="825.17499999999995"/>
    <n v="533.81412548746312"/>
    <n v="284957.52056994499"/>
    <n v="1974.28"/>
  </r>
  <r>
    <s v="CA-2020-1135"/>
    <s v="2020-05-16"/>
    <s v="Second Class"/>
    <x v="0"/>
    <s v="West"/>
    <x v="1"/>
    <n v="1753.11"/>
    <n v="3"/>
    <n v="0.2"/>
    <n v="171.98"/>
    <n v="2020"/>
    <x v="2"/>
    <n v="9.8099948092247494E-2"/>
    <n v="884.45322981366473"/>
    <n v="821.44"/>
    <n v="535.15550915668723"/>
    <n v="286391.41898075317"/>
    <n v="1974.28"/>
  </r>
  <r>
    <s v="CA-2020-1196"/>
    <s v="2023-10-14"/>
    <s v="First Class"/>
    <x v="1"/>
    <s v="Central"/>
    <x v="1"/>
    <n v="679.98"/>
    <n v="6"/>
    <n v="0.3"/>
    <n v="169.67"/>
    <n v="2023"/>
    <x v="9"/>
    <n v="0.24952204476602249"/>
    <n v="879.02412500000025"/>
    <n v="821.43000000000006"/>
    <n v="532.36948927051378"/>
    <n v="283417.27310614765"/>
    <n v="1974.28"/>
  </r>
  <r>
    <s v="CA-2020-1144"/>
    <s v="2022-08-05"/>
    <s v="Same Day"/>
    <x v="1"/>
    <s v="South"/>
    <x v="2"/>
    <n v="1804.62"/>
    <n v="10"/>
    <n v="0.3"/>
    <n v="166.12"/>
    <n v="2022"/>
    <x v="4"/>
    <n v="9.2052620496281767E-2"/>
    <n v="880.27597484276748"/>
    <n v="821.44"/>
    <n v="533.81525443356713"/>
    <n v="284958.72586597397"/>
    <n v="1974.28"/>
  </r>
  <r>
    <s v="CA-2020-1046"/>
    <s v="2023-09-02"/>
    <s v="Second Class"/>
    <x v="2"/>
    <s v="West"/>
    <x v="1"/>
    <n v="1905.08"/>
    <n v="8"/>
    <n v="0.1"/>
    <n v="163.69"/>
    <n v="2023"/>
    <x v="8"/>
    <n v="8.5922900875553779E-2"/>
    <n v="874.42569620253187"/>
    <n v="821.43000000000006"/>
    <n v="530.37457704316466"/>
    <n v="281297.19197371585"/>
    <n v="1974.28"/>
  </r>
  <r>
    <s v="CA-2020-1008"/>
    <s v="2023-03-25"/>
    <s v="Second Class"/>
    <x v="1"/>
    <s v="East"/>
    <x v="0"/>
    <n v="1101.18"/>
    <n v="7"/>
    <n v="0.1"/>
    <n v="157.59"/>
    <n v="2023"/>
    <x v="10"/>
    <n v="0.1431101182368005"/>
    <n v="867.8610191082804"/>
    <n v="821.42"/>
    <n v="525.59273580502077"/>
    <n v="276247.72393100633"/>
    <n v="1974.28"/>
  </r>
  <r>
    <s v="CA-2020-1123"/>
    <s v="2021-06-11"/>
    <s v="Same Day"/>
    <x v="1"/>
    <s v="West"/>
    <x v="2"/>
    <n v="1267.76"/>
    <n v="5"/>
    <n v="0.2"/>
    <n v="154.83000000000001"/>
    <n v="2021"/>
    <x v="6"/>
    <n v="0.12212879409351929"/>
    <n v="866.36538461538476"/>
    <n v="817.18000000000006"/>
    <n v="526.95019184639068"/>
    <n v="277676.50468694797"/>
    <n v="1974.28"/>
  </r>
  <r>
    <s v="CA-2020-1177"/>
    <s v="2021-10-20"/>
    <s v="Standard Class"/>
    <x v="0"/>
    <s v="South"/>
    <x v="2"/>
    <n v="633.07000000000005"/>
    <n v="7"/>
    <n v="0"/>
    <n v="149.58000000000001"/>
    <n v="2021"/>
    <x v="9"/>
    <n v="0.23627718893645253"/>
    <n v="863.77574193548435"/>
    <n v="812.94"/>
    <n v="527.66147353504914"/>
    <n v="278426.63065317931"/>
    <n v="1974.28"/>
  </r>
  <r>
    <s v="CA-2020-1163"/>
    <s v="2020-07-10"/>
    <s v="Same Day"/>
    <x v="0"/>
    <s v="East"/>
    <x v="2"/>
    <n v="1107.71"/>
    <n v="1"/>
    <n v="0"/>
    <n v="147.18"/>
    <n v="2020"/>
    <x v="1"/>
    <n v="0.13286871112475288"/>
    <n v="865.27383116883163"/>
    <n v="817.18000000000006"/>
    <n v="529.05224400358202"/>
    <n v="279896.27688522567"/>
    <n v="1974.28"/>
  </r>
  <r>
    <s v="CA-2020-1145"/>
    <s v="2020-05-11"/>
    <s v="Same Day"/>
    <x v="2"/>
    <s v="West"/>
    <x v="0"/>
    <n v="868.75"/>
    <n v="6"/>
    <n v="0.2"/>
    <n v="144.86000000000001"/>
    <n v="2020"/>
    <x v="2"/>
    <n v="0.1667453237410072"/>
    <n v="863.68928104575195"/>
    <n v="812.94"/>
    <n v="530.42293772356345"/>
    <n v="281348.49286329531"/>
    <n v="1974.28"/>
  </r>
  <r>
    <s v="CA-2020-1184"/>
    <s v="2022-07-18"/>
    <s v="First Class"/>
    <x v="1"/>
    <s v="West"/>
    <x v="2"/>
    <n v="1842.37"/>
    <n v="7"/>
    <n v="0.1"/>
    <n v="142.68"/>
    <n v="2022"/>
    <x v="1"/>
    <n v="7.7443727372894705E-2"/>
    <n v="863.65598684210556"/>
    <n v="800.94500000000005"/>
    <n v="532.17624636117728"/>
    <n v="283211.5571910725"/>
    <n v="1974.28"/>
  </r>
  <r>
    <s v="CA-2020-1021"/>
    <s v="2020-09-14"/>
    <s v="Second Class"/>
    <x v="0"/>
    <s v="Central"/>
    <x v="1"/>
    <n v="1367.33"/>
    <n v="5"/>
    <n v="0.3"/>
    <n v="140.36000000000001"/>
    <n v="2020"/>
    <x v="8"/>
    <n v="0.10265261495030463"/>
    <n v="857.17443708609312"/>
    <n v="788.95"/>
    <n v="527.89342631966349"/>
    <n v="278671.46955151396"/>
    <n v="1974.28"/>
  </r>
  <r>
    <s v="CA-2020-1131"/>
    <s v="2020-10-30"/>
    <s v="Second Class"/>
    <x v="1"/>
    <s v="South"/>
    <x v="0"/>
    <n v="597.26"/>
    <n v="7"/>
    <n v="0"/>
    <n v="139.82"/>
    <n v="2020"/>
    <x v="9"/>
    <n v="0.2341024009644041"/>
    <n v="853.77340000000038"/>
    <n v="786.5"/>
    <n v="527.99943230322037"/>
    <n v="278783.40051252302"/>
    <n v="1974.28"/>
  </r>
  <r>
    <s v="CA-2020-1055"/>
    <s v="2021-05-08"/>
    <s v="Same Day"/>
    <x v="1"/>
    <s v="Central"/>
    <x v="2"/>
    <n v="1183.98"/>
    <n v="7"/>
    <n v="0.3"/>
    <n v="135.41999999999999"/>
    <n v="2021"/>
    <x v="2"/>
    <n v="0.11437693204277098"/>
    <n v="855.49496644295346"/>
    <n v="788.95"/>
    <n v="529.35762924768994"/>
    <n v="280219.49964273477"/>
    <n v="1974.28"/>
  </r>
  <r>
    <s v="CA-2020-1189"/>
    <s v="2022-02-04"/>
    <s v="Standard Class"/>
    <x v="0"/>
    <s v="West"/>
    <x v="2"/>
    <n v="747.6"/>
    <n v="5"/>
    <n v="0.3"/>
    <n v="132.01"/>
    <n v="2022"/>
    <x v="0"/>
    <n v="0.17657838416265381"/>
    <n v="853.27547297297326"/>
    <n v="786.5"/>
    <n v="530.45901352544354"/>
    <n v="281386.76503038668"/>
    <n v="1974.28"/>
  </r>
  <r>
    <s v="CA-2020-1093"/>
    <s v="2020-08-26"/>
    <s v="First Class"/>
    <x v="2"/>
    <s v="West"/>
    <x v="2"/>
    <n v="894.61"/>
    <n v="5"/>
    <n v="0.3"/>
    <n v="127.85"/>
    <n v="2020"/>
    <x v="4"/>
    <n v="0.14291143626831804"/>
    <n v="853.99435374149698"/>
    <n v="788.95"/>
    <n v="532.20020942924396"/>
    <n v="283237.06291653111"/>
    <n v="1974.28"/>
  </r>
  <r>
    <s v="CA-2020-1045"/>
    <s v="2023-09-25"/>
    <s v="Same Day"/>
    <x v="1"/>
    <s v="Central"/>
    <x v="1"/>
    <n v="1724.43"/>
    <n v="9"/>
    <n v="0"/>
    <n v="127.72"/>
    <n v="2023"/>
    <x v="8"/>
    <n v="7.4065053379957432E-2"/>
    <n v="853.71616438356205"/>
    <n v="786.5"/>
    <n v="534.02150451503041"/>
    <n v="285178.9672844967"/>
    <n v="1974.28"/>
  </r>
  <r>
    <s v="CA-2020-1086"/>
    <s v="2022-05-02"/>
    <s v="Same Day"/>
    <x v="0"/>
    <s v="South"/>
    <x v="2"/>
    <n v="1241.3800000000001"/>
    <n v="1"/>
    <n v="0"/>
    <n v="125"/>
    <n v="2022"/>
    <x v="2"/>
    <n v="0.10069438850311749"/>
    <n v="847.71124137931054"/>
    <n v="784.05"/>
    <n v="530.90318158446144"/>
    <n v="281858.18821650359"/>
    <n v="1974.28"/>
  </r>
  <r>
    <s v="CA-2020-1077"/>
    <s v="2022-01-12"/>
    <s v="Standard Class"/>
    <x v="0"/>
    <s v="East"/>
    <x v="0"/>
    <n v="1679.18"/>
    <n v="1"/>
    <n v="0"/>
    <n v="116.56"/>
    <n v="2022"/>
    <x v="3"/>
    <n v="6.9414833430603035E-2"/>
    <n v="844.97743055555588"/>
    <n v="783.375"/>
    <n v="531.73109427005625"/>
    <n v="282737.9566136314"/>
    <n v="1974.28"/>
  </r>
  <r>
    <s v="CA-2020-1058"/>
    <s v="2020-09-03"/>
    <s v="Standard Class"/>
    <x v="1"/>
    <s v="East"/>
    <x v="2"/>
    <n v="935.77"/>
    <n v="1"/>
    <n v="0.2"/>
    <n v="116.48"/>
    <n v="2020"/>
    <x v="8"/>
    <n v="0.12447503125768085"/>
    <n v="839.14384615384643"/>
    <n v="782.7"/>
    <n v="528.95570435292325"/>
    <n v="279794.13716749719"/>
    <n v="1974.28"/>
  </r>
  <r>
    <s v="CA-2020-1109"/>
    <s v="2021-05-01"/>
    <s v="Same Day"/>
    <x v="0"/>
    <s v="West"/>
    <x v="1"/>
    <n v="1492.21"/>
    <n v="9"/>
    <n v="0"/>
    <n v="113.99"/>
    <n v="2021"/>
    <x v="2"/>
    <n v="7.6390052338477829E-2"/>
    <n v="838.46338028169043"/>
    <n v="777.82"/>
    <n v="530.76530530426862"/>
    <n v="281711.80931473349"/>
    <n v="1974.28"/>
  </r>
  <r>
    <s v="CA-2020-1017"/>
    <s v="2020-02-20"/>
    <s v="Second Class"/>
    <x v="0"/>
    <s v="South"/>
    <x v="0"/>
    <n v="621.85"/>
    <n v="1"/>
    <n v="0.3"/>
    <n v="113.56"/>
    <n v="2020"/>
    <x v="0"/>
    <n v="0.18261638658840557"/>
    <n v="833.82687943262442"/>
    <n v="772.94"/>
    <n v="529.76375714508629"/>
    <n v="280649.63838447799"/>
    <n v="1974.28"/>
  </r>
  <r>
    <s v="CA-2020-1053"/>
    <s v="2022-04-18"/>
    <s v="Same Day"/>
    <x v="2"/>
    <s v="South"/>
    <x v="0"/>
    <n v="576.45000000000005"/>
    <n v="4"/>
    <n v="0.3"/>
    <n v="113.48"/>
    <n v="2022"/>
    <x v="7"/>
    <n v="0.19686009194205914"/>
    <n v="835.34100000000035"/>
    <n v="777.82"/>
    <n v="531.35969349349034"/>
    <n v="282343.12386949605"/>
    <n v="1974.28"/>
  </r>
  <r>
    <s v="CA-2020-1118"/>
    <s v="2021-04-09"/>
    <s v="Second Class"/>
    <x v="0"/>
    <s v="East"/>
    <x v="1"/>
    <n v="710.17"/>
    <n v="7"/>
    <n v="0"/>
    <n v="111.1"/>
    <n v="2021"/>
    <x v="7"/>
    <n v="0.15644141543574075"/>
    <n v="837.20352517985646"/>
    <n v="782.7"/>
    <n v="532.82258703383127"/>
    <n v="283899.90925342473"/>
    <n v="1974.28"/>
  </r>
  <r>
    <s v="CA-2020-1065"/>
    <s v="2023-05-22"/>
    <s v="Same Day"/>
    <x v="2"/>
    <s v="Central"/>
    <x v="1"/>
    <n v="570.20000000000005"/>
    <n v="10"/>
    <n v="0.3"/>
    <n v="110.54"/>
    <n v="2023"/>
    <x v="2"/>
    <n v="0.19386180287618379"/>
    <n v="838.12405797101474"/>
    <n v="783.375"/>
    <n v="534.65271504734733"/>
    <n v="285853.52570749994"/>
    <n v="1974.28"/>
  </r>
  <r>
    <s v="CA-2020-1030"/>
    <s v="2021-10-13"/>
    <s v="First Class"/>
    <x v="2"/>
    <s v="West"/>
    <x v="0"/>
    <n v="1617.51"/>
    <n v="1"/>
    <n v="0.2"/>
    <n v="110.39"/>
    <n v="2021"/>
    <x v="9"/>
    <n v="6.8246873280536136E-2"/>
    <n v="840.07970802919738"/>
    <n v="784.05"/>
    <n v="536.11912742376558"/>
    <n v="287423.7187896198"/>
    <n v="1974.28"/>
  </r>
  <r>
    <s v="CA-2020-1037"/>
    <s v="2023-07-16"/>
    <s v="Same Day"/>
    <x v="1"/>
    <s v="South"/>
    <x v="2"/>
    <n v="1516.35"/>
    <n v="4"/>
    <n v="0.1"/>
    <n v="110.38"/>
    <n v="2023"/>
    <x v="1"/>
    <n v="7.2793220562535038E-2"/>
    <n v="834.36330882352979"/>
    <n v="783.375"/>
    <n v="533.89403716753031"/>
    <n v="285042.84292304429"/>
    <n v="1974.28"/>
  </r>
  <r>
    <s v="CA-2020-1074"/>
    <s v="2020-08-25"/>
    <s v="First Class"/>
    <x v="1"/>
    <s v="West"/>
    <x v="1"/>
    <n v="605.01"/>
    <n v="7"/>
    <n v="0"/>
    <n v="110.06"/>
    <n v="2020"/>
    <x v="4"/>
    <n v="0.1819143485231649"/>
    <n v="829.31155555555597"/>
    <n v="782.7"/>
    <n v="532.60996845843317"/>
    <n v="283673.37850129313"/>
    <n v="1974.28"/>
  </r>
  <r>
    <s v="CA-2020-1044"/>
    <s v="2022-12-20"/>
    <s v="Standard Class"/>
    <x v="0"/>
    <s v="South"/>
    <x v="1"/>
    <n v="784.05"/>
    <n v="8"/>
    <n v="0"/>
    <n v="108.82"/>
    <n v="2022"/>
    <x v="5"/>
    <n v="0.13879216886678145"/>
    <n v="830.98544776119434"/>
    <n v="783.375"/>
    <n v="534.25196158419908"/>
    <n v="285425.15845656453"/>
    <n v="1974.28"/>
  </r>
  <r>
    <s v="CA-2020-1190"/>
    <s v="2021-09-01"/>
    <s v="First Class"/>
    <x v="0"/>
    <s v="South"/>
    <x v="2"/>
    <n v="1839.34"/>
    <n v="3"/>
    <n v="0"/>
    <n v="107.57"/>
    <n v="2021"/>
    <x v="8"/>
    <n v="5.8482934095925712E-2"/>
    <n v="831.33834586466207"/>
    <n v="782.7"/>
    <n v="536.25614763048179"/>
    <n v="287570.65587148513"/>
    <n v="1974.28"/>
  </r>
  <r>
    <s v="CA-2020-1020"/>
    <s v="2020-05-29"/>
    <s v="Standard Class"/>
    <x v="0"/>
    <s v="Central"/>
    <x v="2"/>
    <n v="885.49"/>
    <n v="3"/>
    <n v="0.3"/>
    <n v="106.17"/>
    <n v="2020"/>
    <x v="2"/>
    <n v="0.11989971654112412"/>
    <n v="823.7019696969702"/>
    <n v="777.82"/>
    <n v="530.99044542580521"/>
    <n v="281950.85313349497"/>
    <n v="1974.28"/>
  </r>
  <r>
    <s v="CA-2020-1010"/>
    <s v="2022-01-11"/>
    <s v="Standard Class"/>
    <x v="2"/>
    <s v="West"/>
    <x v="0"/>
    <n v="1744.42"/>
    <n v="7"/>
    <n v="0.1"/>
    <n v="105.08"/>
    <n v="2022"/>
    <x v="3"/>
    <n v="6.0237786771534373E-2"/>
    <n v="823.23030534351187"/>
    <n v="772.94"/>
    <n v="533.00104529113662"/>
    <n v="284090.11428144423"/>
    <n v="1974.28"/>
  </r>
  <r>
    <s v="CA-2020-1032"/>
    <s v="2020-07-16"/>
    <s v="Standard Class"/>
    <x v="2"/>
    <s v="Central"/>
    <x v="1"/>
    <n v="782.7"/>
    <n v="3"/>
    <n v="0.3"/>
    <n v="102.25"/>
    <n v="2020"/>
    <x v="1"/>
    <n v="0.13063753673182574"/>
    <n v="816.14423076923117"/>
    <n v="771.92499999999995"/>
    <n v="528.8322427411"/>
    <n v="279663.5409625817"/>
    <n v="1974.28"/>
  </r>
  <r>
    <s v="CA-2020-1057"/>
    <s v="2023-05-07"/>
    <s v="Same Day"/>
    <x v="1"/>
    <s v="Central"/>
    <x v="0"/>
    <n v="899.83"/>
    <n v="9"/>
    <n v="0.1"/>
    <n v="100.95"/>
    <n v="2023"/>
    <x v="2"/>
    <n v="0.11218785770645566"/>
    <n v="816.40348837209365"/>
    <n v="770.91"/>
    <n v="530.88568093895401"/>
    <n v="281839.60622601688"/>
    <n v="1974.28"/>
  </r>
  <r>
    <s v="CA-2020-1171"/>
    <s v="2021-06-06"/>
    <s v="Standard Class"/>
    <x v="0"/>
    <s v="East"/>
    <x v="2"/>
    <n v="1222.6400000000001"/>
    <n v="7"/>
    <n v="0"/>
    <n v="100.32"/>
    <n v="2021"/>
    <x v="6"/>
    <n v="8.2051953150559437E-2"/>
    <n v="815.75171875000046"/>
    <n v="768.995"/>
    <n v="532.91986692260025"/>
    <n v="284003.58456080192"/>
    <n v="1974.28"/>
  </r>
  <r>
    <s v="CA-2020-1187"/>
    <s v="2020-02-26"/>
    <s v="Same Day"/>
    <x v="0"/>
    <s v="South"/>
    <x v="1"/>
    <n v="970.58"/>
    <n v="6"/>
    <n v="0.3"/>
    <n v="94.95"/>
    <n v="2020"/>
    <x v="0"/>
    <n v="9.7828102783902401E-2"/>
    <n v="812.54787401574845"/>
    <n v="767.08"/>
    <n v="533.79142201209822"/>
    <n v="284933.28221369797"/>
    <n v="1974.28"/>
  </r>
  <r>
    <s v="CA-2020-1072"/>
    <s v="2020-09-18"/>
    <s v="First Class"/>
    <x v="1"/>
    <s v="West"/>
    <x v="0"/>
    <n v="1840.96"/>
    <n v="4"/>
    <n v="0.2"/>
    <n v="94.77"/>
    <n v="2020"/>
    <x v="8"/>
    <n v="5.1478576394924383E-2"/>
    <n v="811.2936507936513"/>
    <n v="762.34500000000003"/>
    <n v="535.73442076103788"/>
    <n v="287011.36958816479"/>
    <n v="1974.28"/>
  </r>
  <r>
    <s v="CA-2020-1103"/>
    <s v="2022-07-05"/>
    <s v="Second Class"/>
    <x v="0"/>
    <s v="West"/>
    <x v="2"/>
    <n v="649.85"/>
    <n v="1"/>
    <n v="0.1"/>
    <n v="91.53"/>
    <n v="2022"/>
    <x v="1"/>
    <n v="0.14084788797414788"/>
    <n v="803.05632000000048"/>
    <n v="757.61"/>
    <n v="529.81834002940025"/>
    <n v="280707.47343150922"/>
    <n v="1974.28"/>
  </r>
  <r>
    <s v="CA-2020-1170"/>
    <s v="2023-09-30"/>
    <s v="Standard Class"/>
    <x v="2"/>
    <s v="West"/>
    <x v="0"/>
    <n v="888.28"/>
    <n v="8"/>
    <n v="0.1"/>
    <n v="89.8"/>
    <n v="2023"/>
    <x v="8"/>
    <n v="0.10109424956094926"/>
    <n v="804.29185483871015"/>
    <n v="762.34500000000003"/>
    <n v="531.78687305330868"/>
    <n v="282797.27835181588"/>
    <n v="1974.28"/>
  </r>
  <r>
    <s v="CA-2020-1158"/>
    <s v="2021-11-26"/>
    <s v="First Class"/>
    <x v="1"/>
    <s v="Central"/>
    <x v="2"/>
    <n v="1073.2"/>
    <n v="1"/>
    <n v="0.2"/>
    <n v="88.07"/>
    <n v="2021"/>
    <x v="11"/>
    <n v="8.2062989191203861E-2"/>
    <n v="803.60902439024437"/>
    <n v="757.61"/>
    <n v="533.90729439564336"/>
    <n v="285056.99900887616"/>
    <n v="1974.28"/>
  </r>
  <r>
    <s v="CA-2020-1104"/>
    <s v="2021-04-28"/>
    <s v="First Class"/>
    <x v="1"/>
    <s v="South"/>
    <x v="1"/>
    <n v="1216.78"/>
    <n v="3"/>
    <n v="0"/>
    <n v="87.33"/>
    <n v="2021"/>
    <x v="7"/>
    <n v="7.1771396637025586E-2"/>
    <n v="801.39926229508251"/>
    <n v="750.65000000000009"/>
    <n v="535.54389479127781"/>
    <n v="286807.26324821124"/>
    <n v="1974.28"/>
  </r>
  <r>
    <s v="CA-2020-1146"/>
    <s v="2021-09-17"/>
    <s v="Same Day"/>
    <x v="2"/>
    <s v="Central"/>
    <x v="0"/>
    <n v="1159.55"/>
    <n v="3"/>
    <n v="0.1"/>
    <n v="86.19"/>
    <n v="2021"/>
    <x v="8"/>
    <n v="7.4330559268681817E-2"/>
    <n v="797.96636363636401"/>
    <n v="743.69"/>
    <n v="536.42110118668256"/>
    <n v="287747.5977983331"/>
    <n v="1974.28"/>
  </r>
  <r>
    <s v="CA-2020-1080"/>
    <s v="2023-07-09"/>
    <s v="Second Class"/>
    <x v="0"/>
    <s v="Central"/>
    <x v="0"/>
    <n v="603.61"/>
    <n v="5"/>
    <n v="0.3"/>
    <n v="86.17"/>
    <n v="2023"/>
    <x v="1"/>
    <n v="0.14275774092543198"/>
    <n v="794.9531666666669"/>
    <n v="743.41000000000008"/>
    <n v="537.64096831909865"/>
    <n v="289057.81081509806"/>
    <n v="1974.28"/>
  </r>
  <r>
    <s v="CA-2020-1087"/>
    <s v="2021-03-04"/>
    <s v="Standard Class"/>
    <x v="2"/>
    <s v="East"/>
    <x v="2"/>
    <n v="1476.72"/>
    <n v="5"/>
    <n v="0.2"/>
    <n v="84.87"/>
    <n v="2021"/>
    <x v="10"/>
    <n v="5.7471964895173089E-2"/>
    <n v="796.56109243697506"/>
    <n v="743.69"/>
    <n v="539.6244740554713"/>
    <n v="291194.57299964398"/>
    <n v="1974.28"/>
  </r>
  <r>
    <s v="CA-2020-1048"/>
    <s v="2022-02-11"/>
    <s v="First Class"/>
    <x v="2"/>
    <s v="West"/>
    <x v="0"/>
    <n v="1004.88"/>
    <n v="4"/>
    <n v="0.1"/>
    <n v="84.87"/>
    <n v="2022"/>
    <x v="0"/>
    <n v="8.4457845712920948E-2"/>
    <n v="790.79703389830536"/>
    <n v="743.41000000000008"/>
    <n v="538.23407832047019"/>
    <n v="289695.92306548601"/>
    <n v="1974.28"/>
  </r>
  <r>
    <s v="CA-2020-1175"/>
    <s v="2022-01-27"/>
    <s v="Standard Class"/>
    <x v="0"/>
    <s v="Central"/>
    <x v="1"/>
    <n v="944.16"/>
    <n v="6"/>
    <n v="0"/>
    <n v="83.25"/>
    <n v="2022"/>
    <x v="3"/>
    <n v="8.817361464158617E-2"/>
    <n v="788.96726495726534"/>
    <n v="743.13"/>
    <n v="540.18036387543077"/>
    <n v="291794.82551659283"/>
    <n v="1974.28"/>
  </r>
  <r>
    <s v="CA-2020-1129"/>
    <s v="2023-10-01"/>
    <s v="Standard Class"/>
    <x v="0"/>
    <s v="South"/>
    <x v="2"/>
    <n v="322.77999999999997"/>
    <n v="3"/>
    <n v="0.1"/>
    <n v="79.5"/>
    <n v="2023"/>
    <x v="9"/>
    <n v="0.24629778796703639"/>
    <n v="787.62939655172431"/>
    <n v="735.90499999999997"/>
    <n v="542.32917444680641"/>
    <n v="294120.9334561546"/>
    <n v="1974.28"/>
  </r>
  <r>
    <s v="CA-2020-1067"/>
    <s v="2023-04-13"/>
    <s v="First Class"/>
    <x v="1"/>
    <s v="South"/>
    <x v="1"/>
    <n v="1440.82"/>
    <n v="6"/>
    <n v="0.2"/>
    <n v="77.02"/>
    <n v="2023"/>
    <x v="7"/>
    <n v="5.3455671076192722E-2"/>
    <n v="791.6715652173915"/>
    <n v="743.13"/>
    <n v="542.944727456642"/>
    <n v="294788.97707296727"/>
    <n v="1974.28"/>
  </r>
  <r>
    <s v="CA-2020-1149"/>
    <s v="2022-08-15"/>
    <s v="First Class"/>
    <x v="2"/>
    <s v="South"/>
    <x v="0"/>
    <n v="919.89"/>
    <n v="10"/>
    <n v="0.3"/>
    <n v="76.69"/>
    <n v="2022"/>
    <x v="4"/>
    <n v="8.3368663644566202E-2"/>
    <n v="785.97728070175469"/>
    <n v="735.90499999999997"/>
    <n v="541.88178559352446"/>
    <n v="293635.86955802643"/>
    <n v="1974.28"/>
  </r>
  <r>
    <s v="CA-2020-1007"/>
    <s v="2022-11-16"/>
    <s v="Same Day"/>
    <x v="2"/>
    <s v="West"/>
    <x v="0"/>
    <n v="695.8"/>
    <n v="8"/>
    <n v="0"/>
    <n v="76.459999999999994"/>
    <n v="2022"/>
    <x v="11"/>
    <n v="0.10988789882150043"/>
    <n v="784.79221238938078"/>
    <n v="728.68"/>
    <n v="544.14712056662972"/>
    <n v="296096.08882095426"/>
    <n v="1974.28"/>
  </r>
  <r>
    <s v="CA-2020-1098"/>
    <s v="2021-09-17"/>
    <s v="First Class"/>
    <x v="1"/>
    <s v="East"/>
    <x v="1"/>
    <n v="788.95"/>
    <n v="3"/>
    <n v="0"/>
    <n v="75.37"/>
    <n v="2021"/>
    <x v="8"/>
    <n v="9.5532036250712979E-2"/>
    <n v="785.58678571428595"/>
    <n v="735.90499999999997"/>
    <n v="546.52688519910055"/>
    <n v="298691.63624543085"/>
    <n v="1974.28"/>
  </r>
  <r>
    <s v="CA-2020-1060"/>
    <s v="2021-05-28"/>
    <s v="Standard Class"/>
    <x v="0"/>
    <s v="Central"/>
    <x v="0"/>
    <n v="650.75"/>
    <n v="9"/>
    <n v="0.1"/>
    <n v="74.709999999999994"/>
    <n v="2021"/>
    <x v="2"/>
    <n v="0.11480599308490202"/>
    <n v="785.55648648648673"/>
    <n v="728.68"/>
    <n v="549.00538339908746"/>
    <n v="301406.91100117902"/>
    <n v="1974.28"/>
  </r>
  <r>
    <s v="CA-2020-1195"/>
    <s v="2023-01-10"/>
    <s v="Standard Class"/>
    <x v="0"/>
    <s v="East"/>
    <x v="0"/>
    <n v="599.01"/>
    <n v="6"/>
    <n v="0.1"/>
    <n v="69.42"/>
    <n v="2023"/>
    <x v="3"/>
    <n v="0.11589122051384786"/>
    <n v="786.78200000000027"/>
    <n v="735.90499999999997"/>
    <n v="551.36546275986802"/>
    <n v="304003.87352440337"/>
    <n v="1974.28"/>
  </r>
  <r>
    <s v="CA-2020-1117"/>
    <s v="2020-02-04"/>
    <s v="First Class"/>
    <x v="0"/>
    <s v="South"/>
    <x v="1"/>
    <n v="383.27"/>
    <n v="6"/>
    <n v="0.2"/>
    <n v="66.739999999999995"/>
    <n v="2020"/>
    <x v="0"/>
    <n v="0.17413311764552403"/>
    <n v="788.50467889908282"/>
    <n v="743.13"/>
    <n v="553.61472446259404"/>
    <n v="306489.2631417939"/>
    <n v="1974.28"/>
  </r>
  <r>
    <s v="CA-2020-1155"/>
    <s v="2022-03-01"/>
    <s v="Second Class"/>
    <x v="1"/>
    <s v="East"/>
    <x v="1"/>
    <n v="459.73"/>
    <n v="4"/>
    <n v="0.1"/>
    <n v="66.45"/>
    <n v="2022"/>
    <x v="10"/>
    <n v="0.14454136123376765"/>
    <n v="792.25685185185205"/>
    <n v="743.41000000000008"/>
    <n v="554.80151173012655"/>
    <n v="307804.7174180338"/>
    <n v="1974.28"/>
  </r>
  <r>
    <s v="CA-2020-1153"/>
    <s v="2021-08-02"/>
    <s v="Same Day"/>
    <x v="2"/>
    <s v="South"/>
    <x v="1"/>
    <n v="1068.3800000000001"/>
    <n v="1"/>
    <n v="0"/>
    <n v="64.92"/>
    <n v="2021"/>
    <x v="4"/>
    <n v="6.0764896385181295E-2"/>
    <n v="795.36457943925257"/>
    <n v="743.69"/>
    <n v="556.46710097583809"/>
    <n v="309655.63446845353"/>
    <n v="1974.28"/>
  </r>
  <r>
    <s v="CA-2020-1197"/>
    <s v="2020-03-15"/>
    <s v="Same Day"/>
    <x v="1"/>
    <s v="West"/>
    <x v="1"/>
    <n v="527.41"/>
    <n v="7"/>
    <n v="0.3"/>
    <n v="63.31"/>
    <n v="2020"/>
    <x v="10"/>
    <n v="0.12003943800838059"/>
    <n v="792.78896226415111"/>
    <n v="743.41000000000008"/>
    <n v="558.4694786440956"/>
    <n v="311888.158577008"/>
    <n v="1974.28"/>
  </r>
  <r>
    <s v="CA-2020-1052"/>
    <s v="2022-11-21"/>
    <s v="Standard Class"/>
    <x v="2"/>
    <s v="East"/>
    <x v="2"/>
    <n v="1149.3"/>
    <n v="7"/>
    <n v="0"/>
    <n v="62.78"/>
    <n v="2022"/>
    <x v="11"/>
    <n v="5.4624554076394327E-2"/>
    <n v="795.31638095238111"/>
    <n v="743.69"/>
    <n v="560.53854541538169"/>
    <n v="314203.46089639195"/>
    <n v="1974.28"/>
  </r>
  <r>
    <s v="CA-2020-1106"/>
    <s v="2023-01-21"/>
    <s v="Same Day"/>
    <x v="0"/>
    <s v="West"/>
    <x v="1"/>
    <n v="384.01"/>
    <n v="10"/>
    <n v="0"/>
    <n v="61.96"/>
    <n v="2023"/>
    <x v="3"/>
    <n v="0.16134996484466552"/>
    <n v="791.91269230769228"/>
    <n v="743.41000000000008"/>
    <n v="562.16166248113643"/>
    <n v="316025.73476355511"/>
    <n v="1974.28"/>
  </r>
  <r>
    <s v="CA-2020-1099"/>
    <s v="2022-11-24"/>
    <s v="Second Class"/>
    <x v="2"/>
    <s v="South"/>
    <x v="2"/>
    <n v="1375.52"/>
    <n v="10"/>
    <n v="0.3"/>
    <n v="61.8"/>
    <n v="2022"/>
    <x v="11"/>
    <n v="4.4928463417471212E-2"/>
    <n v="795.87291262135921"/>
    <n v="743.69"/>
    <n v="563.45094511087257"/>
    <n v="317476.96754633554"/>
    <n v="1974.28"/>
  </r>
  <r>
    <s v="CA-2020-1124"/>
    <s v="2023-08-27"/>
    <s v="Second Class"/>
    <x v="0"/>
    <s v="South"/>
    <x v="2"/>
    <n v="1052.6500000000001"/>
    <n v="6"/>
    <n v="0.3"/>
    <n v="58.67"/>
    <n v="2023"/>
    <x v="4"/>
    <n v="5.5735524628319003E-2"/>
    <n v="790.19009803921563"/>
    <n v="743.41000000000008"/>
    <n v="563.25930856237846"/>
    <n v="317261.04868216871"/>
    <n v="1974.28"/>
  </r>
  <r>
    <s v="CA-2020-1022"/>
    <s v="2021-07-09"/>
    <s v="First Class"/>
    <x v="2"/>
    <s v="West"/>
    <x v="2"/>
    <n v="951.98"/>
    <n v="6"/>
    <n v="0.1"/>
    <n v="57.96"/>
    <n v="2021"/>
    <x v="1"/>
    <n v="6.0883632009075823E-2"/>
    <n v="787.59148514851495"/>
    <n v="743.13"/>
    <n v="565.45378843082506"/>
    <n v="319737.98685077229"/>
    <n v="1974.28"/>
  </r>
  <r>
    <s v="CA-2020-1096"/>
    <s v="2020-04-21"/>
    <s v="First Class"/>
    <x v="1"/>
    <s v="West"/>
    <x v="2"/>
    <n v="828.91"/>
    <n v="2"/>
    <n v="0.3"/>
    <n v="55.63"/>
    <n v="2020"/>
    <x v="7"/>
    <n v="6.7112231726001628E-2"/>
    <n v="785.94760000000008"/>
    <n v="735.90499999999997"/>
    <n v="568.05982813222784"/>
    <n v="322691.96833761618"/>
    <n v="1974.28"/>
  </r>
  <r>
    <s v="CA-2020-1122"/>
    <s v="2021-01-26"/>
    <s v="Same Day"/>
    <x v="0"/>
    <s v="West"/>
    <x v="1"/>
    <n v="1050.8699999999999"/>
    <n v="2"/>
    <n v="0.2"/>
    <n v="55.22"/>
    <n v="2021"/>
    <x v="3"/>
    <n v="5.2546937299570835E-2"/>
    <n v="785.51363636363624"/>
    <n v="728.68"/>
    <n v="570.93407580312874"/>
    <n v="325965.71891317272"/>
    <n v="1974.28"/>
  </r>
  <r>
    <s v="CA-2020-1110"/>
    <s v="2022-07-22"/>
    <s v="Standard Class"/>
    <x v="1"/>
    <s v="East"/>
    <x v="1"/>
    <n v="832.41"/>
    <n v="4"/>
    <n v="0.1"/>
    <n v="54"/>
    <n v="2022"/>
    <x v="1"/>
    <n v="6.4871878040869288E-2"/>
    <n v="782.80591836734709"/>
    <n v="725.57999999999993"/>
    <n v="573.23020279605066"/>
    <n v="328592.86539760139"/>
    <n v="1974.28"/>
  </r>
  <r>
    <s v="CA-2020-1061"/>
    <s v="2020-08-21"/>
    <s v="First Class"/>
    <x v="2"/>
    <s v="West"/>
    <x v="2"/>
    <n v="476.77"/>
    <n v="3"/>
    <n v="0"/>
    <n v="52.8"/>
    <n v="2020"/>
    <x v="4"/>
    <n v="0.11074522306353168"/>
    <n v="782.29453608247411"/>
    <n v="722.48"/>
    <n v="576.18557134402738"/>
    <n v="331989.81262504327"/>
    <n v="1974.28"/>
  </r>
  <r>
    <s v="CA-2020-1150"/>
    <s v="2022-02-16"/>
    <s v="Standard Class"/>
    <x v="0"/>
    <s v="East"/>
    <x v="2"/>
    <n v="1644.47"/>
    <n v="9"/>
    <n v="0"/>
    <n v="52.6"/>
    <n v="2022"/>
    <x v="0"/>
    <n v="3.1985989406921378E-2"/>
    <n v="785.47708333333333"/>
    <n v="725.57999999999993"/>
    <n v="578.35250973035784"/>
    <n v="334491.62551140372"/>
    <n v="1974.28"/>
  </r>
  <r>
    <s v="CA-2020-1034"/>
    <s v="2021-11-30"/>
    <s v="First Class"/>
    <x v="1"/>
    <s v="West"/>
    <x v="2"/>
    <n v="1370.96"/>
    <n v="2"/>
    <n v="0.2"/>
    <n v="51.48"/>
    <n v="2021"/>
    <x v="11"/>
    <n v="3.7550329695979455E-2"/>
    <n v="776.43505263157897"/>
    <n v="722.48"/>
    <n v="574.55874421783733"/>
    <n v="330117.75055717822"/>
    <n v="1974.28"/>
  </r>
  <r>
    <s v="CA-2020-1028"/>
    <s v="2021-06-02"/>
    <s v="Standard Class"/>
    <x v="0"/>
    <s v="South"/>
    <x v="1"/>
    <n v="224.54"/>
    <n v="7"/>
    <n v="0.3"/>
    <n v="51.04"/>
    <n v="2021"/>
    <x v="6"/>
    <n v="0.22730916540482765"/>
    <n v="770.11031914893624"/>
    <n v="709.94"/>
    <n v="574.30508197065126"/>
    <n v="329826.32717731642"/>
    <n v="1974.28"/>
  </r>
  <r>
    <s v="CA-2020-1071"/>
    <s v="2022-10-22"/>
    <s v="Same Day"/>
    <x v="2"/>
    <s v="West"/>
    <x v="2"/>
    <n v="977.66"/>
    <n v="9"/>
    <n v="0.1"/>
    <n v="49.92"/>
    <n v="2022"/>
    <x v="9"/>
    <n v="5.10606959474664E-2"/>
    <n v="775.9766666666668"/>
    <n v="722.48"/>
    <n v="574.57925011780742"/>
    <n v="330141.31466594187"/>
    <n v="1974.28"/>
  </r>
  <r>
    <s v="CA-2020-1076"/>
    <s v="2023-02-07"/>
    <s v="Standard Class"/>
    <x v="1"/>
    <s v="Central"/>
    <x v="1"/>
    <n v="1512.44"/>
    <n v="5"/>
    <n v="0.3"/>
    <n v="49.02"/>
    <n v="2023"/>
    <x v="0"/>
    <n v="3.2411203089048164E-2"/>
    <n v="773.78445652173923"/>
    <n v="709.94"/>
    <n v="577.33646321624451"/>
    <n v="333317.39175904205"/>
    <n v="1974.28"/>
  </r>
  <r>
    <s v="CA-2020-1128"/>
    <s v="2020-12-30"/>
    <s v="Second Class"/>
    <x v="0"/>
    <s v="East"/>
    <x v="2"/>
    <n v="517.85"/>
    <n v="4"/>
    <n v="0.3"/>
    <n v="48.99"/>
    <n v="2020"/>
    <x v="5"/>
    <n v="9.4602684174954141E-2"/>
    <n v="765.66736263736254"/>
    <n v="697.4"/>
    <n v="575.23207781987207"/>
    <n v="330891.94335296733"/>
    <n v="1974.28"/>
  </r>
  <r>
    <s v="CA-2020-1064"/>
    <s v="2023-09-20"/>
    <s v="Second Class"/>
    <x v="0"/>
    <s v="Central"/>
    <x v="0"/>
    <n v="249.97"/>
    <n v="3"/>
    <n v="0.2"/>
    <n v="47.18"/>
    <n v="2023"/>
    <x v="8"/>
    <n v="0.18874264911789415"/>
    <n v="768.42088888888895"/>
    <n v="709.94"/>
    <n v="577.85129968683361"/>
    <n v="333912.12454976281"/>
    <n v="1974.28"/>
  </r>
  <r>
    <s v="CA-2020-1018"/>
    <s v="2023-09-30"/>
    <s v="Second Class"/>
    <x v="2"/>
    <s v="South"/>
    <x v="0"/>
    <n v="1271.5899999999999"/>
    <n v="4"/>
    <n v="0"/>
    <n v="47.01"/>
    <n v="2023"/>
    <x v="8"/>
    <n v="3.6969463427677159E-2"/>
    <n v="774.24617977528089"/>
    <n v="722.48"/>
    <n v="578.46159251678773"/>
    <n v="334617.81401705818"/>
    <n v="1974.28"/>
  </r>
  <r>
    <s v="CA-2020-1015"/>
    <s v="2020-09-22"/>
    <s v="Standard Class"/>
    <x v="1"/>
    <s v="South"/>
    <x v="2"/>
    <n v="199.07"/>
    <n v="3"/>
    <n v="0.1"/>
    <n v="46.34"/>
    <n v="2020"/>
    <x v="8"/>
    <n v="0.232782438338273"/>
    <n v="768.59454545454548"/>
    <n v="709.94"/>
    <n v="579.30007264595361"/>
    <n v="335588.57416760718"/>
    <n v="1974.28"/>
  </r>
  <r>
    <s v="CA-2020-1026"/>
    <s v="2020-03-07"/>
    <s v="Standard Class"/>
    <x v="1"/>
    <s v="East"/>
    <x v="0"/>
    <n v="598.74"/>
    <n v="2"/>
    <n v="0.1"/>
    <n v="44.83"/>
    <n v="2020"/>
    <x v="10"/>
    <n v="7.4873901860573869E-2"/>
    <n v="775.14080459770116"/>
    <n v="722.48"/>
    <n v="579.37536020854998"/>
    <n v="335675.80801678699"/>
    <n v="1974.28"/>
  </r>
  <r>
    <s v="CA-2020-1040"/>
    <s v="2023-01-24"/>
    <s v="Same Day"/>
    <x v="2"/>
    <s v="Central"/>
    <x v="0"/>
    <n v="213.74"/>
    <n v="9"/>
    <n v="0.1"/>
    <n v="44.57"/>
    <n v="2023"/>
    <x v="3"/>
    <n v="0.20852437540937588"/>
    <n v="777.19197674418615"/>
    <n v="725.57999999999993"/>
    <n v="582.45565766254276"/>
    <n v="339254.59314310522"/>
    <n v="1974.28"/>
  </r>
  <r>
    <s v="CA-2020-1011"/>
    <s v="2020-02-09"/>
    <s v="Second Class"/>
    <x v="0"/>
    <s v="South"/>
    <x v="1"/>
    <n v="1993.44"/>
    <n v="7"/>
    <n v="0.2"/>
    <n v="43.87"/>
    <n v="2020"/>
    <x v="0"/>
    <n v="2.2007183562083633E-2"/>
    <n v="783.82082352941177"/>
    <n v="728.68"/>
    <n v="582.64000208249922"/>
    <n v="339469.37202669465"/>
    <n v="1974.28"/>
  </r>
  <r>
    <s v="CA-2020-1192"/>
    <s v="2021-03-29"/>
    <s v="Same Day"/>
    <x v="1"/>
    <s v="West"/>
    <x v="1"/>
    <n v="441.67"/>
    <n v="7"/>
    <n v="0.1"/>
    <n v="42.76"/>
    <n v="2021"/>
    <x v="10"/>
    <n v="9.6814363665179884E-2"/>
    <n v="769.4205952380953"/>
    <n v="725.57999999999993"/>
    <n v="570.7195828420472"/>
    <n v="325720.84223940043"/>
    <n v="1954.1399999999999"/>
  </r>
  <r>
    <s v="CA-2020-1054"/>
    <s v="2022-05-30"/>
    <s v="Second Class"/>
    <x v="0"/>
    <s v="South"/>
    <x v="2"/>
    <n v="1148.8399999999999"/>
    <n v="1"/>
    <n v="0"/>
    <n v="42.53"/>
    <n v="2022"/>
    <x v="2"/>
    <n v="3.7019950558824559E-2"/>
    <n v="773.36939759036136"/>
    <n v="728.68"/>
    <n v="573.0333837683869"/>
    <n v="328367.25891304744"/>
    <n v="1954.1399999999999"/>
  </r>
  <r>
    <s v="CA-2020-1141"/>
    <s v="2020-09-03"/>
    <s v="Same Day"/>
    <x v="2"/>
    <s v="West"/>
    <x v="0"/>
    <n v="722.48"/>
    <n v="2"/>
    <n v="0.3"/>
    <n v="41.94"/>
    <n v="2020"/>
    <x v="8"/>
    <n v="5.8050049828368949E-2"/>
    <n v="768.7904878048779"/>
    <n v="725.57999999999993"/>
    <n v="575.02998109256453"/>
    <n v="330659.47915531509"/>
    <n v="1954.1399999999999"/>
  </r>
  <r>
    <s v="CA-2020-1085"/>
    <s v="2020-11-28"/>
    <s v="Standard Class"/>
    <x v="1"/>
    <s v="South"/>
    <x v="1"/>
    <n v="512.74"/>
    <n v="8"/>
    <n v="0"/>
    <n v="41.17"/>
    <n v="2020"/>
    <x v="11"/>
    <n v="8.0294106174669422E-2"/>
    <n v="769.36222222222204"/>
    <n v="728.68"/>
    <n v="578.5893046129529"/>
    <n v="334765.58341250039"/>
    <n v="1954.1399999999999"/>
  </r>
  <r>
    <s v="CA-2020-1180"/>
    <s v="2023-02-10"/>
    <s v="Second Class"/>
    <x v="1"/>
    <s v="East"/>
    <x v="2"/>
    <n v="858.42"/>
    <n v="4"/>
    <n v="0"/>
    <n v="40.75"/>
    <n v="2023"/>
    <x v="0"/>
    <n v="4.7470934973556068E-2"/>
    <n v="772.56999999999994"/>
    <n v="735.90499999999997"/>
    <n v="581.5144840866235"/>
    <n v="338159.0952025319"/>
    <n v="1954.1399999999999"/>
  </r>
  <r>
    <s v="CA-2020-1127"/>
    <s v="2021-09-02"/>
    <s v="First Class"/>
    <x v="2"/>
    <s v="West"/>
    <x v="1"/>
    <n v="1459.35"/>
    <n v="7"/>
    <n v="0"/>
    <n v="39.479999999999997"/>
    <n v="2021"/>
    <x v="8"/>
    <n v="2.7053140096618356E-2"/>
    <n v="771.48329113924046"/>
    <n v="728.68"/>
    <n v="585.14851286621456"/>
    <n v="342398.78210954246"/>
    <n v="1954.1399999999999"/>
  </r>
  <r>
    <s v="CA-2020-1094"/>
    <s v="2021-04-15"/>
    <s v="Second Class"/>
    <x v="2"/>
    <s v="West"/>
    <x v="0"/>
    <n v="1812.42"/>
    <n v="10"/>
    <n v="0.3"/>
    <n v="38.61"/>
    <n v="2021"/>
    <x v="7"/>
    <n v="2.1303009236269738E-2"/>
    <n v="762.66448717948697"/>
    <n v="713.04"/>
    <n v="583.62813095603997"/>
    <n v="340621.79524324049"/>
    <n v="1954.1399999999999"/>
  </r>
  <r>
    <s v="CA-2020-1159"/>
    <s v="2022-04-20"/>
    <s v="First Class"/>
    <x v="0"/>
    <s v="West"/>
    <x v="2"/>
    <n v="1744.5"/>
    <n v="4"/>
    <n v="0.2"/>
    <n v="38.340000000000003"/>
    <n v="2022"/>
    <x v="7"/>
    <n v="2.197764402407567E-2"/>
    <n v="749.03129870129851"/>
    <n v="697.4"/>
    <n v="574.81782105141065"/>
    <n v="330415.52739829151"/>
    <n v="1954.1399999999999"/>
  </r>
  <r>
    <s v="CA-2020-1089"/>
    <s v="2021-07-20"/>
    <s v="Second Class"/>
    <x v="2"/>
    <s v="West"/>
    <x v="1"/>
    <n v="1814.62"/>
    <n v="10"/>
    <n v="0.3"/>
    <n v="38.22"/>
    <n v="2021"/>
    <x v="1"/>
    <n v="2.1062260969238741E-2"/>
    <n v="735.93302631578922"/>
    <n v="676.18000000000006"/>
    <n v="566.95188775067413"/>
    <n v="321434.44302405301"/>
    <n v="1954.1399999999999"/>
  </r>
  <r>
    <s v="CA-2020-1043"/>
    <s v="2022-11-05"/>
    <s v="First Class"/>
    <x v="1"/>
    <s v="South"/>
    <x v="2"/>
    <n v="478.84"/>
    <n v="1"/>
    <n v="0.3"/>
    <n v="37.32"/>
    <n v="2022"/>
    <x v="11"/>
    <n v="7.7938351014952806E-2"/>
    <n v="721.55053333333296"/>
    <n v="654.96"/>
    <n v="556.63690227111465"/>
    <n v="309844.64096998243"/>
    <n v="1954.1399999999999"/>
  </r>
  <r>
    <s v="CA-2020-1151"/>
    <s v="2021-07-26"/>
    <s v="Same Day"/>
    <x v="0"/>
    <s v="West"/>
    <x v="1"/>
    <n v="277.12"/>
    <n v="9"/>
    <n v="0.1"/>
    <n v="36.299999999999997"/>
    <n v="2021"/>
    <x v="1"/>
    <n v="0.13099018475750576"/>
    <n v="724.83040540540503"/>
    <n v="676.18000000000006"/>
    <n v="559.70636833733454"/>
    <n v="313271.21875736798"/>
    <n v="1954.1399999999999"/>
  </r>
  <r>
    <s v="CA-2020-1154"/>
    <s v="2023-09-24"/>
    <s v="Same Day"/>
    <x v="0"/>
    <s v="West"/>
    <x v="1"/>
    <n v="1713.05"/>
    <n v="9"/>
    <n v="0.3"/>
    <n v="35.770000000000003"/>
    <n v="2023"/>
    <x v="8"/>
    <n v="2.088088497125011E-2"/>
    <n v="730.96342465753389"/>
    <n v="697.4"/>
    <n v="561.07051133480377"/>
    <n v="314800.11868949817"/>
    <n v="1954.1399999999999"/>
  </r>
  <r>
    <s v="CA-2020-1036"/>
    <s v="2022-12-21"/>
    <s v="Same Day"/>
    <x v="1"/>
    <s v="West"/>
    <x v="2"/>
    <n v="1242.3"/>
    <n v="2"/>
    <n v="0.2"/>
    <n v="35.18"/>
    <n v="2022"/>
    <x v="5"/>
    <n v="2.8318441600257586E-2"/>
    <n v="717.32333333333304"/>
    <n v="676.18000000000006"/>
    <n v="552.68510701437697"/>
    <n v="305460.82751549338"/>
    <n v="1954.1399999999999"/>
  </r>
  <r>
    <s v="CA-2020-1004"/>
    <s v="2020-01-05"/>
    <s v="Standard Class"/>
    <x v="2"/>
    <s v="Central"/>
    <x v="0"/>
    <n v="1178.44"/>
    <n v="3"/>
    <n v="0.3"/>
    <n v="35.159999999999997"/>
    <n v="2020"/>
    <x v="3"/>
    <n v="2.9836054444859303E-2"/>
    <n v="709.92929577464758"/>
    <n v="654.96"/>
    <n v="553.02075078433427"/>
    <n v="305831.95079806872"/>
    <n v="1954.1399999999999"/>
  </r>
  <r>
    <s v="CA-2020-1102"/>
    <s v="2020-10-15"/>
    <s v="Standard Class"/>
    <x v="1"/>
    <s v="Central"/>
    <x v="1"/>
    <n v="1058.8800000000001"/>
    <n v="5"/>
    <n v="0.3"/>
    <n v="34.18"/>
    <n v="2020"/>
    <x v="9"/>
    <n v="3.2279389543668775E-2"/>
    <n v="703.23628571428537"/>
    <n v="634.55500000000006"/>
    <n v="554.10979042160682"/>
    <n v="307037.65984107705"/>
    <n v="1954.1399999999999"/>
  </r>
  <r>
    <s v="CA-2020-1047"/>
    <s v="2023-01-12"/>
    <s v="Standard Class"/>
    <x v="0"/>
    <s v="East"/>
    <x v="1"/>
    <n v="1187.9000000000001"/>
    <n v="7"/>
    <n v="0.1"/>
    <n v="33.93"/>
    <n v="2023"/>
    <x v="3"/>
    <n v="2.8563010354406934E-2"/>
    <n v="698.08202898550701"/>
    <n v="614.15"/>
    <n v="556.47634850797056"/>
    <n v="309665.92644876428"/>
    <n v="1954.1399999999999"/>
  </r>
  <r>
    <s v="CA-2020-1114"/>
    <s v="2020-08-20"/>
    <s v="Second Class"/>
    <x v="2"/>
    <s v="West"/>
    <x v="0"/>
    <n v="539.84"/>
    <n v="10"/>
    <n v="0.3"/>
    <n v="33.119999999999997"/>
    <n v="2020"/>
    <x v="4"/>
    <n v="6.1351511558980429E-2"/>
    <n v="690.87882352941142"/>
    <n v="595.27"/>
    <n v="557.36363829025299"/>
    <n v="310654.22528814792"/>
    <n v="1954.1399999999999"/>
  </r>
  <r>
    <s v="CA-2020-1162"/>
    <s v="2023-08-16"/>
    <s v="Second Class"/>
    <x v="2"/>
    <s v="West"/>
    <x v="1"/>
    <n v="551.66999999999996"/>
    <n v="3"/>
    <n v="0.1"/>
    <n v="31.62"/>
    <n v="2023"/>
    <x v="4"/>
    <n v="5.7316874218282673E-2"/>
    <n v="693.13313432835787"/>
    <n v="614.15"/>
    <n v="561.25778498537932"/>
    <n v="315010.30120669422"/>
    <n v="1954.1399999999999"/>
  </r>
  <r>
    <s v="CA-2020-1070"/>
    <s v="2022-01-04"/>
    <s v="Same Day"/>
    <x v="2"/>
    <s v="West"/>
    <x v="1"/>
    <n v="179.98"/>
    <n v="6"/>
    <n v="0.2"/>
    <n v="31.46"/>
    <n v="2022"/>
    <x v="3"/>
    <n v="0.17479719968885432"/>
    <n v="695.27651515151479"/>
    <n v="634.55500000000006"/>
    <n v="565.28229641887117"/>
    <n v="319544.07464459253"/>
    <n v="1954.1399999999999"/>
  </r>
  <r>
    <s v="CA-2020-1062"/>
    <s v="2020-01-08"/>
    <s v="Same Day"/>
    <x v="2"/>
    <s v="Central"/>
    <x v="0"/>
    <n v="303.8"/>
    <n v="8"/>
    <n v="0.2"/>
    <n v="31.43"/>
    <n v="2020"/>
    <x v="3"/>
    <n v="0.10345622119815667"/>
    <n v="703.20415384615342"/>
    <n v="654.96"/>
    <n v="565.97191390091439"/>
    <n v="320324.20732466399"/>
    <n v="1954.1399999999999"/>
  </r>
  <r>
    <s v="CA-2020-1169"/>
    <s v="2021-06-13"/>
    <s v="First Class"/>
    <x v="2"/>
    <s v="East"/>
    <x v="1"/>
    <n v="1160.23"/>
    <n v="8"/>
    <n v="0.1"/>
    <n v="31.39"/>
    <n v="2021"/>
    <x v="6"/>
    <n v="2.705498047800867E-2"/>
    <n v="709.44484374999968"/>
    <n v="676.18000000000006"/>
    <n v="568.18749746275785"/>
    <n v="322837.03227299149"/>
    <n v="1954.1399999999999"/>
  </r>
  <r>
    <s v="CA-2020-1179"/>
    <s v="2023-09-11"/>
    <s v="Standard Class"/>
    <x v="2"/>
    <s v="West"/>
    <x v="2"/>
    <n v="371.56"/>
    <n v="7"/>
    <n v="0.1"/>
    <n v="30.2"/>
    <n v="2023"/>
    <x v="8"/>
    <n v="8.1278932070190546E-2"/>
    <n v="702.28952380952353"/>
    <n v="654.96"/>
    <n v="569.8372753589216"/>
    <n v="324714.52038847946"/>
    <n v="1954.1399999999999"/>
  </r>
  <r>
    <s v="CA-2020-1160"/>
    <s v="2020-02-19"/>
    <s v="Standard Class"/>
    <x v="0"/>
    <s v="Central"/>
    <x v="2"/>
    <n v="614.15"/>
    <n v="10"/>
    <n v="0.2"/>
    <n v="29.8"/>
    <n v="2020"/>
    <x v="0"/>
    <n v="4.852234796059595E-2"/>
    <n v="707.6238709677416"/>
    <n v="676.18000000000006"/>
    <n v="572.90107319963613"/>
    <n v="328215.63967329485"/>
    <n v="1954.1399999999999"/>
  </r>
  <r>
    <s v="CA-2020-1156"/>
    <s v="2021-10-12"/>
    <s v="Same Day"/>
    <x v="2"/>
    <s v="South"/>
    <x v="1"/>
    <n v="1039.8399999999999"/>
    <n v="9"/>
    <n v="0.1"/>
    <n v="29.63"/>
    <n v="2021"/>
    <x v="9"/>
    <n v="2.8494768425911681E-2"/>
    <n v="709.15622950819636"/>
    <n v="697.4"/>
    <n v="577.52739357876362"/>
    <n v="333537.89033388015"/>
    <n v="1954.1399999999999"/>
  </r>
  <r>
    <s v="CA-2020-1125"/>
    <s v="2022-07-31"/>
    <s v="Second Class"/>
    <x v="2"/>
    <s v="East"/>
    <x v="0"/>
    <n v="130.15"/>
    <n v="6"/>
    <n v="0"/>
    <n v="27.44"/>
    <n v="2022"/>
    <x v="1"/>
    <n v="0.21083365347675759"/>
    <n v="703.64483333333305"/>
    <n v="676.18000000000006"/>
    <n v="580.78116790654235"/>
    <n v="337306.76499488734"/>
    <n v="1954.1399999999999"/>
  </r>
  <r>
    <s v="CA-2020-1139"/>
    <s v="2022-04-27"/>
    <s v="Second Class"/>
    <x v="1"/>
    <s v="Central"/>
    <x v="0"/>
    <n v="485.6"/>
    <n v="1"/>
    <n v="0.1"/>
    <n v="26.33"/>
    <n v="2022"/>
    <x v="7"/>
    <n v="5.4221581548599664E-2"/>
    <n v="713.36508474576237"/>
    <n v="697.4"/>
    <n v="580.82326080395694"/>
    <n v="337355.66029094142"/>
    <n v="1954.1399999999999"/>
  </r>
  <r>
    <s v="CA-2020-1059"/>
    <s v="2023-06-01"/>
    <s v="Same Day"/>
    <x v="2"/>
    <s v="East"/>
    <x v="2"/>
    <n v="526.36"/>
    <n v="2"/>
    <n v="0.2"/>
    <n v="25.8"/>
    <n v="2023"/>
    <x v="6"/>
    <n v="4.9015882665856068E-2"/>
    <n v="717.29206896551693"/>
    <n v="713.04"/>
    <n v="585.10543259166229"/>
    <n v="342348.36724827631"/>
    <n v="1954.1399999999999"/>
  </r>
  <r>
    <s v="CA-2020-1003"/>
    <s v="2023-10-22"/>
    <s v="Same Day"/>
    <x v="2"/>
    <s v="Central"/>
    <x v="1"/>
    <n v="697.4"/>
    <n v="7"/>
    <n v="0"/>
    <n v="25.69"/>
    <n v="2023"/>
    <x v="9"/>
    <n v="3.6836822483510182E-2"/>
    <n v="720.64175438596465"/>
    <n v="728.68"/>
    <n v="589.74513738418898"/>
    <n v="347799.32706829591"/>
    <n v="1954.1399999999999"/>
  </r>
  <r>
    <s v="CA-2020-1049"/>
    <s v="2022-02-21"/>
    <s v="Same Day"/>
    <x v="2"/>
    <s v="West"/>
    <x v="1"/>
    <n v="728.68"/>
    <n v="6"/>
    <n v="0.1"/>
    <n v="25.57"/>
    <n v="2022"/>
    <x v="0"/>
    <n v="3.5090849206784874E-2"/>
    <n v="721.05678571428541"/>
    <n v="735.90499999999997"/>
    <n v="595.07390664936349"/>
    <n v="354112.95437493536"/>
    <n v="1954.1399999999999"/>
  </r>
  <r>
    <s v="CA-2020-1136"/>
    <s v="2023-03-26"/>
    <s v="Standard Class"/>
    <x v="2"/>
    <s v="West"/>
    <x v="0"/>
    <n v="105.88"/>
    <n v="4"/>
    <n v="0.2"/>
    <n v="20.65"/>
    <n v="2023"/>
    <x v="10"/>
    <n v="0.1950321118247072"/>
    <n v="720.91818181818155"/>
    <n v="743.13"/>
    <n v="600.55766245829727"/>
    <n v="360669.50593737414"/>
    <n v="1954.1399999999999"/>
  </r>
  <r>
    <s v="CA-2020-1138"/>
    <s v="2022-06-14"/>
    <s v="First Class"/>
    <x v="0"/>
    <s v="South"/>
    <x v="2"/>
    <n v="767.08"/>
    <n v="5"/>
    <n v="0"/>
    <n v="17.16"/>
    <n v="2022"/>
    <x v="6"/>
    <n v="2.2370548052354382E-2"/>
    <n v="732.30777777777757"/>
    <n v="743.41000000000008"/>
    <n v="600.17098694334913"/>
    <n v="360205.21356855374"/>
    <n v="1954.1399999999999"/>
  </r>
  <r>
    <s v="CA-2020-1097"/>
    <s v="2020-12-29"/>
    <s v="First Class"/>
    <x v="1"/>
    <s v="Central"/>
    <x v="2"/>
    <n v="1856.83"/>
    <n v="1"/>
    <n v="0.1"/>
    <n v="16.89"/>
    <n v="2020"/>
    <x v="5"/>
    <n v="9.0961477356570081E-3"/>
    <n v="731.65169811320754"/>
    <n v="743.13"/>
    <n v="605.89483090884755"/>
    <n v="367108.54612206103"/>
    <n v="1954.1399999999999"/>
  </r>
  <r>
    <s v="CA-2020-1119"/>
    <s v="2020-07-13"/>
    <s v="Standard Class"/>
    <x v="1"/>
    <s v="South"/>
    <x v="1"/>
    <n v="901.77"/>
    <n v="9"/>
    <n v="0"/>
    <n v="15.71"/>
    <n v="2020"/>
    <x v="1"/>
    <n v="1.7421293677988847E-2"/>
    <n v="710.01365384615394"/>
    <n v="699.04500000000007"/>
    <n v="590.76672562526346"/>
    <n v="349005.3241059953"/>
    <n v="1954.1399999999999"/>
  </r>
  <r>
    <s v="CA-2020-1073"/>
    <s v="2020-05-14"/>
    <s v="First Class"/>
    <x v="0"/>
    <s v="South"/>
    <x v="2"/>
    <n v="239.55"/>
    <n v="3"/>
    <n v="0"/>
    <n v="14.45"/>
    <n v="2020"/>
    <x v="2"/>
    <n v="6.0321436025881858E-2"/>
    <n v="706.2537254901963"/>
    <n v="654.96"/>
    <n v="596.01644344753015"/>
    <n v="355235.60085984296"/>
    <n v="1954.1399999999999"/>
  </r>
  <r>
    <s v="CA-2020-1039"/>
    <s v="2021-02-27"/>
    <s v="Second Class"/>
    <x v="2"/>
    <s v="West"/>
    <x v="2"/>
    <n v="136.01"/>
    <n v="6"/>
    <n v="0.1"/>
    <n v="13.82"/>
    <n v="2021"/>
    <x v="0"/>
    <n v="0.10161017572237337"/>
    <n v="715.58780000000013"/>
    <n v="699.04500000000007"/>
    <n v="598.290275399758"/>
    <n v="357951.25363791827"/>
    <n v="1954.1399999999999"/>
  </r>
  <r>
    <s v="CA-2020-1042"/>
    <s v="2020-11-04"/>
    <s v="First Class"/>
    <x v="0"/>
    <s v="Central"/>
    <x v="2"/>
    <n v="1832.85"/>
    <n v="2"/>
    <n v="0.2"/>
    <n v="13.09"/>
    <n v="2020"/>
    <x v="11"/>
    <n v="7.1418828600267343E-3"/>
    <n v="727.41591836734699"/>
    <n v="743.13"/>
    <n v="598.55460777024598"/>
    <n v="358267.61848299304"/>
    <n v="1954.1399999999999"/>
  </r>
  <r>
    <s v="CA-2020-1002"/>
    <s v="2023-03-20"/>
    <s v="Second Class"/>
    <x v="0"/>
    <s v="South"/>
    <x v="2"/>
    <n v="407.28"/>
    <n v="7"/>
    <n v="0"/>
    <n v="11.61"/>
    <n v="2023"/>
    <x v="10"/>
    <n v="2.8506187389510902E-2"/>
    <n v="704.38604166666676"/>
    <n v="699.04500000000007"/>
    <n v="582.53669718662741"/>
    <n v="339349.00356910442"/>
    <n v="1954.1399999999999"/>
  </r>
  <r>
    <s v="CA-2020-1035"/>
    <s v="2021-05-27"/>
    <s v="Same Day"/>
    <x v="2"/>
    <s v="Central"/>
    <x v="0"/>
    <n v="160.66999999999999"/>
    <n v="3"/>
    <n v="0.1"/>
    <n v="11.57"/>
    <n v="2021"/>
    <x v="2"/>
    <n v="7.2010954129582375E-2"/>
    <n v="710.70744680851078"/>
    <n v="743.13"/>
    <n v="587.16809385117097"/>
    <n v="344766.37043681747"/>
    <n v="1954.1399999999999"/>
  </r>
  <r>
    <s v="CA-2020-1193"/>
    <s v="2022-04-13"/>
    <s v="Same Day"/>
    <x v="2"/>
    <s v="Central"/>
    <x v="2"/>
    <n v="153.15"/>
    <n v="8"/>
    <n v="0.3"/>
    <n v="11.56"/>
    <n v="2022"/>
    <x v="7"/>
    <n v="7.5481554031994774E-2"/>
    <n v="722.66478260869587"/>
    <n v="743.41000000000008"/>
    <n v="587.84228543883376"/>
    <n v="345558.55254995136"/>
    <n v="1954.1399999999999"/>
  </r>
  <r>
    <s v="CA-2020-1172"/>
    <s v="2023-03-24"/>
    <s v="First Class"/>
    <x v="0"/>
    <s v="West"/>
    <x v="2"/>
    <n v="79.05"/>
    <n v="6"/>
    <n v="0"/>
    <n v="11.3"/>
    <n v="2023"/>
    <x v="10"/>
    <n v="0.1429475015812777"/>
    <n v="735.32066666666685"/>
    <n v="743.69"/>
    <n v="588.11293102446029"/>
    <n v="345876.81963818154"/>
    <n v="1954.1399999999999"/>
  </r>
  <r>
    <s v="CA-2020-1120"/>
    <s v="2022-09-09"/>
    <s v="Standard Class"/>
    <x v="0"/>
    <s v="East"/>
    <x v="1"/>
    <n v="770.91"/>
    <n v="4"/>
    <n v="0.2"/>
    <n v="11.16"/>
    <n v="2022"/>
    <x v="8"/>
    <n v="1.4476398023115539E-2"/>
    <n v="750.23590909090922"/>
    <n v="750.65000000000009"/>
    <n v="586.23950260971355"/>
    <n v="343676.7544200843"/>
    <n v="1954.1399999999999"/>
  </r>
  <r>
    <s v="CA-2020-1182"/>
    <s v="2022-08-14"/>
    <s v="First Class"/>
    <x v="0"/>
    <s v="Central"/>
    <x v="2"/>
    <n v="248.32"/>
    <n v="1"/>
    <n v="0.3"/>
    <n v="10.41"/>
    <n v="2022"/>
    <x v="4"/>
    <n v="4.1921713917525777E-2"/>
    <n v="749.75511627906997"/>
    <n v="743.69"/>
    <n v="593.168712089378"/>
    <n v="351849.12100177142"/>
    <n v="1954.1399999999999"/>
  </r>
  <r>
    <s v="CA-2020-1188"/>
    <s v="2020-09-23"/>
    <s v="First Class"/>
    <x v="0"/>
    <s v="South"/>
    <x v="0"/>
    <n v="654.96"/>
    <n v="4"/>
    <n v="0"/>
    <n v="9.2100000000000009"/>
    <n v="2020"/>
    <x v="8"/>
    <n v="1.4061927445950898E-2"/>
    <n v="761.69404761904786"/>
    <n v="750.65000000000009"/>
    <n v="595.10686285315523"/>
    <n v="354152.17821492412"/>
    <n v="1954.1399999999999"/>
  </r>
  <r>
    <s v="CA-2020-1006"/>
    <s v="2023-07-23"/>
    <s v="Second Class"/>
    <x v="2"/>
    <s v="South"/>
    <x v="0"/>
    <n v="89.97"/>
    <n v="7"/>
    <n v="0"/>
    <n v="7.55"/>
    <n v="2023"/>
    <x v="1"/>
    <n v="8.3916861175947544E-2"/>
    <n v="764.2973170731708"/>
    <n v="757.61"/>
    <n v="602.25761291171898"/>
    <n v="362714.23231012188"/>
    <n v="1954.1399999999999"/>
  </r>
  <r>
    <s v="CA-2020-1164"/>
    <s v="2021-09-04"/>
    <s v="Standard Class"/>
    <x v="0"/>
    <s v="East"/>
    <x v="0"/>
    <n v="166.41"/>
    <n v="9"/>
    <n v="0.2"/>
    <n v="7.31"/>
    <n v="2021"/>
    <x v="8"/>
    <n v="4.3927648578811367E-2"/>
    <n v="781.15550000000019"/>
    <n v="765.27500000000009"/>
    <n v="600.05307518649442"/>
    <n v="360063.69304076879"/>
    <n v="1954.1399999999999"/>
  </r>
  <r>
    <s v="CA-2020-1001"/>
    <s v="2020-08-12"/>
    <s v="Standard Class"/>
    <x v="2"/>
    <s v="East"/>
    <x v="1"/>
    <n v="39.82"/>
    <n v="5"/>
    <n v="0.3"/>
    <n v="5.73"/>
    <n v="2020"/>
    <x v="4"/>
    <n v="0.14389753892516324"/>
    <n v="796.91820512820527"/>
    <n v="772.94"/>
    <n v="599.44891241816833"/>
    <n v="359338.99859932484"/>
    <n v="1954.1399999999999"/>
  </r>
  <r>
    <s v="CA-2020-1009"/>
    <s v="2021-10-03"/>
    <s v="Second Class"/>
    <x v="2"/>
    <s v="West"/>
    <x v="2"/>
    <n v="125.89"/>
    <n v="10"/>
    <n v="0"/>
    <n v="5.54"/>
    <n v="2021"/>
    <x v="9"/>
    <n v="4.4006672491857975E-2"/>
    <n v="816.84184210526325"/>
    <n v="792.94"/>
    <n v="594.2653903627579"/>
    <n v="353151.35418300098"/>
    <n v="1954.1399999999999"/>
  </r>
  <r>
    <s v="CA-2020-1075"/>
    <s v="2022-09-29"/>
    <s v="Second Class"/>
    <x v="0"/>
    <s v="Central"/>
    <x v="2"/>
    <n v="121.63"/>
    <n v="8"/>
    <n v="0.3"/>
    <n v="2.27"/>
    <n v="2022"/>
    <x v="8"/>
    <n v="1.8663158760174301E-2"/>
    <n v="835.51621621621632"/>
    <n v="812.94"/>
    <n v="591.05091347414248"/>
    <n v="349341.18231861829"/>
    <n v="1954.1399999999999"/>
  </r>
  <r>
    <s v="CA-2020-1100"/>
    <s v="2021-11-15"/>
    <s v="Standard Class"/>
    <x v="2"/>
    <s v="South"/>
    <x v="1"/>
    <n v="351.71"/>
    <n v="4"/>
    <n v="0"/>
    <n v="2.2599999999999998"/>
    <n v="2021"/>
    <x v="11"/>
    <n v="6.4257484859685538E-3"/>
    <n v="855.3463888888889"/>
    <n v="817.18000000000006"/>
    <n v="586.81933327851789"/>
    <n v="344356.9299094443"/>
    <n v="1954.1399999999999"/>
  </r>
  <r>
    <s v="CA-2020-1132"/>
    <s v="2020-07-30"/>
    <s v="Standard Class"/>
    <x v="0"/>
    <s v="West"/>
    <x v="1"/>
    <n v="891.22"/>
    <n v="7"/>
    <n v="0"/>
    <n v="1.9"/>
    <n v="2020"/>
    <x v="1"/>
    <n v="2.1319090684679427E-3"/>
    <n v="869.7360000000001"/>
    <n v="821.42"/>
    <n v="588.90715843840758"/>
    <n v="346811.64125999971"/>
    <n v="1954.1399999999999"/>
  </r>
  <r>
    <s v="CA-2020-1107"/>
    <s v="2021-06-26"/>
    <s v="First Class"/>
    <x v="1"/>
    <s v="East"/>
    <x v="0"/>
    <n v="19.16"/>
    <n v="7"/>
    <n v="0.2"/>
    <n v="1.88"/>
    <n v="2021"/>
    <x v="6"/>
    <n v="9.8121085594989554E-2"/>
    <n v="869.10411764705884"/>
    <n v="817.18000000000006"/>
    <n v="597.75135869770736"/>
    <n v="357306.68682495516"/>
    <n v="1954.1399999999999"/>
  </r>
  <r>
    <s v="CA-2020-1063"/>
    <s v="2020-11-05"/>
    <s v="Same Day"/>
    <x v="0"/>
    <s v="Central"/>
    <x v="0"/>
    <n v="22.42"/>
    <n v="6"/>
    <n v="0.1"/>
    <n v="1.85"/>
    <n v="2020"/>
    <x v="11"/>
    <n v="8.2515611061552183E-2"/>
    <n v="894.86000000000013"/>
    <n v="821.42"/>
    <n v="587.54852462902966"/>
    <n v="345213.26879374951"/>
    <n v="1950.8799999999999"/>
  </r>
  <r>
    <s v="CA-2020-1029"/>
    <s v="2023-07-22"/>
    <s v="Second Class"/>
    <x v="2"/>
    <s v="East"/>
    <x v="0"/>
    <n v="1973.3"/>
    <n v="4"/>
    <n v="0.3"/>
    <n v="1.5"/>
    <n v="2023"/>
    <x v="1"/>
    <n v="7.6014797547255871E-4"/>
    <n v="922.12374999999997"/>
    <n v="821.43000000000006"/>
    <n v="575.35086242671207"/>
    <n v="331028.61489516136"/>
    <n v="1950.62"/>
  </r>
  <r>
    <s v="CA-2020-1051"/>
    <s v="2022-12-23"/>
    <s v="Second Class"/>
    <x v="2"/>
    <s v="East"/>
    <x v="1"/>
    <n v="998.14"/>
    <n v="1"/>
    <n v="0.3"/>
    <n v="0.8"/>
    <n v="2022"/>
    <x v="5"/>
    <n v="8.014907728374778E-4"/>
    <n v="888.21483870967757"/>
    <n v="821.42"/>
    <n v="551.40037815771666"/>
    <n v="304042.37703247293"/>
    <n v="1850.46"/>
  </r>
  <r>
    <s v="CA-2020-1168"/>
    <s v="2021-12-17"/>
    <s v="First Class"/>
    <x v="0"/>
    <s v="West"/>
    <x v="1"/>
    <n v="22.68"/>
    <n v="10"/>
    <n v="0.2"/>
    <n v="0.72"/>
    <n v="2021"/>
    <x v="5"/>
    <n v="3.1746031746031744E-2"/>
    <n v="884.55066666666676"/>
    <n v="817.18000000000006"/>
    <n v="560.44271248001246"/>
    <n v="314096.0339719539"/>
    <n v="1850.46"/>
  </r>
  <r>
    <s v="CA-2020-1105"/>
    <s v="2022-01-12"/>
    <s v="Same Day"/>
    <x v="2"/>
    <s v="South"/>
    <x v="2"/>
    <n v="25.96"/>
    <n v="2"/>
    <n v="0.1"/>
    <n v="0.4"/>
    <n v="2022"/>
    <x v="3"/>
    <n v="1.5408320493066256E-2"/>
    <n v="914.27034482758631"/>
    <n v="821.42"/>
    <n v="545.77433262608486"/>
    <n v="297869.62215344835"/>
    <n v="1847.18"/>
  </r>
  <r>
    <s v="CA-2020-1130"/>
    <s v="2023-10-03"/>
    <s v="Same Day"/>
    <x v="2"/>
    <s v="East"/>
    <x v="2"/>
    <n v="129.1"/>
    <n v="5"/>
    <n v="0"/>
    <n v="0.3"/>
    <n v="2023"/>
    <x v="9"/>
    <n v="2.3237800154918666E-3"/>
    <n v="945.99571428571448"/>
    <n v="821.43000000000006"/>
    <n v="527.85632787459178"/>
    <n v="278632.30287724856"/>
    <n v="1769.22"/>
  </r>
  <r>
    <s v="CA-2020-1133"/>
    <s v="2020-10-16"/>
    <s v="Same Day"/>
    <x v="0"/>
    <s v="Central"/>
    <x v="2"/>
    <n v="772.94"/>
    <n v="8"/>
    <n v="0.2"/>
    <n v="-0.5"/>
    <n v="2020"/>
    <x v="9"/>
    <n v="-6.4688074106657688E-4"/>
    <n v="976.2511111111113"/>
    <n v="821.44"/>
    <n v="512.57412468331972"/>
    <n v="262732.2332948714"/>
    <n v="1769.22"/>
  </r>
  <r>
    <s v="CA-2020-1147"/>
    <s v="2022-07-18"/>
    <s v="First Class"/>
    <x v="2"/>
    <s v="Central"/>
    <x v="0"/>
    <n v="821.44"/>
    <n v="9"/>
    <n v="0.3"/>
    <n v="-1.96"/>
    <n v="2022"/>
    <x v="1"/>
    <n v="-2.3860537592520449E-3"/>
    <n v="984.07076923076943"/>
    <n v="861.81"/>
    <n v="521.08014102955826"/>
    <n v="271524.51337538438"/>
    <n v="1769.22"/>
  </r>
  <r>
    <s v="CA-2020-1027"/>
    <s v="2023-02-24"/>
    <s v="Second Class"/>
    <x v="0"/>
    <s v="East"/>
    <x v="0"/>
    <n v="821.42"/>
    <n v="1"/>
    <n v="0.3"/>
    <n v="-2.46"/>
    <n v="2023"/>
    <x v="0"/>
    <n v="-2.9948138589272239E-3"/>
    <n v="990.57600000000002"/>
    <n v="902.18"/>
    <n v="530.74656996065482"/>
    <n v="281691.9215250003"/>
    <n v="1769.22"/>
  </r>
  <r>
    <s v="CA-2020-1013"/>
    <s v="2022-04-24"/>
    <s v="Second Class"/>
    <x v="2"/>
    <s v="East"/>
    <x v="0"/>
    <n v="1135.53"/>
    <n v="7"/>
    <n v="0"/>
    <n v="-4.3099999999999996"/>
    <n v="2022"/>
    <x v="7"/>
    <n v="-3.795584440745731E-3"/>
    <n v="997.62416666666684"/>
    <n v="997.52"/>
    <n v="540.96532576269237"/>
    <n v="292643.4836775359"/>
    <n v="1769.22"/>
  </r>
  <r>
    <s v="CA-2020-1050"/>
    <s v="2022-09-14"/>
    <s v="Same Day"/>
    <x v="1"/>
    <s v="South"/>
    <x v="2"/>
    <n v="103.92"/>
    <n v="6"/>
    <n v="0"/>
    <n v="-5.15"/>
    <n v="2022"/>
    <x v="8"/>
    <n v="-4.955735180908391E-2"/>
    <n v="991.62826086956545"/>
    <n v="902.18"/>
    <n v="552.30735988917161"/>
    <n v="305043.41978774691"/>
    <n v="1769.22"/>
  </r>
  <r>
    <s v="CA-2020-1126"/>
    <s v="2021-08-14"/>
    <s v="Same Day"/>
    <x v="0"/>
    <s v="South"/>
    <x v="1"/>
    <n v="126.53"/>
    <n v="6"/>
    <n v="0.2"/>
    <n v="-6.27"/>
    <n v="2021"/>
    <x v="4"/>
    <n v="-4.9553465581285067E-2"/>
    <n v="1031.9786363636367"/>
    <n v="997.52"/>
    <n v="529.47008176905285"/>
    <n v="280338.56748852757"/>
    <n v="1746.6100000000001"/>
  </r>
  <r>
    <s v="CA-2020-1066"/>
    <s v="2023-03-22"/>
    <s v="Same Day"/>
    <x v="1"/>
    <s v="East"/>
    <x v="0"/>
    <n v="1118.47"/>
    <n v="5"/>
    <n v="0.2"/>
    <n v="-7.45"/>
    <n v="2023"/>
    <x v="10"/>
    <n v="-6.6608849589170922E-3"/>
    <n v="1075.0952380952385"/>
    <n v="1092.8599999999999"/>
    <n v="501.40965367271275"/>
    <n v="251411.64079618975"/>
    <n v="1550.97"/>
  </r>
  <r>
    <s v="CA-2020-1115"/>
    <s v="2021-12-05"/>
    <s v="Second Class"/>
    <x v="0"/>
    <s v="South"/>
    <x v="0"/>
    <n v="1366.85"/>
    <n v="1"/>
    <n v="0.2"/>
    <n v="-7.9"/>
    <n v="2021"/>
    <x v="5"/>
    <n v="-5.7797124775944694E-3"/>
    <n v="1072.9265000000003"/>
    <n v="997.52"/>
    <n v="514.33438731171293"/>
    <n v="264539.86197131517"/>
    <n v="1550.97"/>
  </r>
  <r>
    <s v="CA-2020-1198"/>
    <s v="2022-11-11"/>
    <s v="Second Class"/>
    <x v="0"/>
    <s v="South"/>
    <x v="2"/>
    <n v="322.17"/>
    <n v="2"/>
    <n v="0.1"/>
    <n v="-9.74"/>
    <n v="2022"/>
    <x v="11"/>
    <n v="-3.023248595462023E-2"/>
    <n v="1057.4568421052631"/>
    <n v="902.18"/>
    <n v="523.62621621887502"/>
    <n v="274184.41431169608"/>
    <n v="1550.97"/>
  </r>
  <r>
    <s v="CA-2020-1200"/>
    <s v="2021-12-05"/>
    <s v="Same Day"/>
    <x v="0"/>
    <s v="East"/>
    <x v="2"/>
    <n v="1873.14"/>
    <n v="5"/>
    <n v="0"/>
    <n v="-9.9"/>
    <n v="2021"/>
    <x v="5"/>
    <n v="-5.285242961017329E-3"/>
    <n v="1098.3061111111112"/>
    <n v="997.52"/>
    <n v="506.69847092420554"/>
    <n v="256743.34043692797"/>
    <n v="1490.9"/>
  </r>
  <r>
    <s v="CA-2020-1005"/>
    <s v="2023-08-02"/>
    <s v="First Class"/>
    <x v="0"/>
    <s v="Central"/>
    <x v="1"/>
    <n v="743.13"/>
    <n v="5"/>
    <n v="0"/>
    <n v="-12.25"/>
    <n v="2023"/>
    <x v="4"/>
    <n v="-1.6484329794248652E-2"/>
    <n v="1052.7276470588235"/>
    <n v="902.18"/>
    <n v="482.76246057882105"/>
    <n v="233059.59334411775"/>
    <n v="1474.05"/>
  </r>
  <r>
    <s v="CA-2020-1113"/>
    <s v="2020-12-07"/>
    <s v="Second Class"/>
    <x v="1"/>
    <s v="Central"/>
    <x v="1"/>
    <n v="743.69"/>
    <n v="3"/>
    <n v="0.2"/>
    <n v="-12.97"/>
    <n v="2020"/>
    <x v="5"/>
    <n v="-1.7440062391587893E-2"/>
    <n v="1072.0775000000001"/>
    <n v="997.52"/>
    <n v="491.73923452035677"/>
    <n v="241807.47476666645"/>
    <n v="1474.05"/>
  </r>
  <r>
    <s v="CA-2020-1183"/>
    <s v="2022-01-31"/>
    <s v="Second Class"/>
    <x v="1"/>
    <s v="Central"/>
    <x v="1"/>
    <n v="576.39"/>
    <n v="5"/>
    <n v="0"/>
    <n v="-14.18"/>
    <n v="2022"/>
    <x v="3"/>
    <n v="-2.4601398358750151E-2"/>
    <n v="1093.97"/>
    <n v="1092.8599999999999"/>
    <n v="500.8624382003506"/>
    <n v="250863.18200000003"/>
    <n v="1474.05"/>
  </r>
  <r>
    <s v="CA-2020-1178"/>
    <s v="2021-04-11"/>
    <s v="First Class"/>
    <x v="1"/>
    <s v="Central"/>
    <x v="1"/>
    <n v="382.24"/>
    <n v="10"/>
    <n v="0.3"/>
    <n v="-15.83"/>
    <n v="2021"/>
    <x v="7"/>
    <n v="-4.1413771452490582E-2"/>
    <n v="1130.94"/>
    <n v="1100.82"/>
    <n v="498.07788694293436"/>
    <n v="248081.5814615385"/>
    <n v="1474.05"/>
  </r>
  <r>
    <s v="CA-2020-1185"/>
    <s v="2021-07-17"/>
    <s v="Standard Class"/>
    <x v="0"/>
    <s v="West"/>
    <x v="0"/>
    <n v="1108.78"/>
    <n v="3"/>
    <n v="0.2"/>
    <n v="-15.92"/>
    <n v="2021"/>
    <x v="1"/>
    <n v="-1.4358123342773138E-2"/>
    <n v="1188.5323076923075"/>
    <n v="1108.78"/>
    <n v="467.38541449846076"/>
    <n v="218449.12568589798"/>
    <n v="1363.55"/>
  </r>
  <r>
    <s v="CA-2020-1078"/>
    <s v="2020-06-07"/>
    <s v="Standard Class"/>
    <x v="1"/>
    <s v="Central"/>
    <x v="2"/>
    <n v="902.18"/>
    <n v="9"/>
    <n v="0"/>
    <n v="-19.37"/>
    <n v="2020"/>
    <x v="6"/>
    <n v="-2.1470216586490502E-2"/>
    <n v="1195.1783333333333"/>
    <n v="1232.8699999999999"/>
    <n v="487.52613372997479"/>
    <n v="237681.73106969724"/>
    <n v="1363.55"/>
  </r>
  <r>
    <s v="CA-2020-1121"/>
    <s v="2021-04-16"/>
    <s v="Second Class"/>
    <x v="2"/>
    <s v="East"/>
    <x v="2"/>
    <n v="757.61"/>
    <n v="10"/>
    <n v="0.3"/>
    <n v="-20.170000000000002"/>
    <n v="2021"/>
    <x v="7"/>
    <n v="-2.6623196631512257E-2"/>
    <n v="1221.8145454545454"/>
    <n v="1372.88"/>
    <n v="502.08033746331142"/>
    <n v="252084.66526727268"/>
    <n v="1363.55"/>
  </r>
  <r>
    <s v="CA-2020-1031"/>
    <s v="2021-04-21"/>
    <s v="Second Class"/>
    <x v="0"/>
    <s v="Central"/>
    <x v="2"/>
    <n v="572.11"/>
    <n v="5"/>
    <n v="0.1"/>
    <n v="-20.5"/>
    <n v="2021"/>
    <x v="7"/>
    <n v="-3.5832270018003529E-2"/>
    <n v="1268.2350000000001"/>
    <n v="1412.5100000000002"/>
    <n v="503.74290253064589"/>
    <n v="253756.9118499998"/>
    <n v="1363.55"/>
  </r>
  <r>
    <s v="CA-2020-1056"/>
    <s v="2022-03-25"/>
    <s v="Same Day"/>
    <x v="1"/>
    <s v="East"/>
    <x v="1"/>
    <n v="1452.14"/>
    <n v="10"/>
    <n v="0.2"/>
    <n v="-21.98"/>
    <n v="2022"/>
    <x v="10"/>
    <n v="-1.5136281625738565E-2"/>
    <n v="1345.5822222222223"/>
    <n v="1452.14"/>
    <n v="467.08923879109466"/>
    <n v="218172.35699444427"/>
    <n v="1363.55"/>
  </r>
  <r>
    <s v="CA-2020-1101"/>
    <s v="2021-01-11"/>
    <s v="Same Day"/>
    <x v="1"/>
    <s v="Central"/>
    <x v="1"/>
    <n v="812.94"/>
    <n v="7"/>
    <n v="0.3"/>
    <n v="-22.72"/>
    <n v="2021"/>
    <x v="3"/>
    <n v="-2.7947942037542743E-2"/>
    <n v="1332.2625"/>
    <n v="1424.2350000000001"/>
    <n v="497.5087904392098"/>
    <n v="247514.99656428557"/>
    <n v="1363.55"/>
  </r>
  <r>
    <s v="CA-2020-1186"/>
    <s v="2021-08-18"/>
    <s v="First Class"/>
    <x v="2"/>
    <s v="East"/>
    <x v="1"/>
    <n v="492.74"/>
    <n v="4"/>
    <n v="0.1"/>
    <n v="-23.72"/>
    <n v="2021"/>
    <x v="4"/>
    <n v="-4.8138977959978888E-2"/>
    <n v="1406.4514285714286"/>
    <n v="1475.59"/>
    <n v="487.23388242296147"/>
    <n v="237396.85618095225"/>
    <n v="1363.55"/>
  </r>
  <r>
    <s v="CA-2020-1165"/>
    <s v="2022-06-02"/>
    <s v="Standard Class"/>
    <x v="2"/>
    <s v="East"/>
    <x v="2"/>
    <n v="1856.29"/>
    <n v="3"/>
    <n v="0.2"/>
    <n v="-26.24"/>
    <n v="2022"/>
    <x v="6"/>
    <n v="-1.4135722327869029E-2"/>
    <n v="1558.7366666666667"/>
    <n v="1595.46"/>
    <n v="300.1225749367531"/>
    <n v="90073.559986666965"/>
    <n v="763.43000000000006"/>
  </r>
  <r>
    <s v="CA-2020-1137"/>
    <s v="2022-10-13"/>
    <s v="First Class"/>
    <x v="0"/>
    <s v="West"/>
    <x v="0"/>
    <n v="1475.59"/>
    <n v="2"/>
    <n v="0"/>
    <n v="-34.76"/>
    <n v="2022"/>
    <x v="9"/>
    <n v="-2.3556679023305931E-2"/>
    <n v="1499.2260000000001"/>
    <n v="1475.59"/>
    <n v="293.30965570536472"/>
    <n v="86030.554129999597"/>
    <n v="746.61000000000013"/>
  </r>
  <r>
    <s v="CA-2020-1152"/>
    <s v="2021-06-28"/>
    <s v="Second Class"/>
    <x v="1"/>
    <s v="West"/>
    <x v="1"/>
    <n v="1372.88"/>
    <n v="10"/>
    <n v="0.3"/>
    <n v="-36.64"/>
    <n v="2021"/>
    <x v="6"/>
    <n v="-2.668842142066313E-2"/>
    <n v="1505.135"/>
    <n v="1544.105"/>
    <n v="338.3409970724806"/>
    <n v="114474.63030000031"/>
    <n v="746.61000000000013"/>
  </r>
  <r>
    <s v="CA-2020-1041"/>
    <s v="2020-12-28"/>
    <s v="First Class"/>
    <x v="0"/>
    <s v="Central"/>
    <x v="2"/>
    <n v="1715.33"/>
    <n v="3"/>
    <n v="0.1"/>
    <n v="-39.18"/>
    <n v="2020"/>
    <x v="5"/>
    <n v="-2.2841085971795516E-2"/>
    <n v="1549.22"/>
    <n v="1715.33"/>
    <n v="400.06377254132894"/>
    <n v="160051.02210000018"/>
    <n v="746.61000000000013"/>
  </r>
  <r>
    <s v="CA-2020-1142"/>
    <s v="2023-05-23"/>
    <s v="First Class"/>
    <x v="1"/>
    <s v="Central"/>
    <x v="0"/>
    <n v="1092.8599999999999"/>
    <n v="10"/>
    <n v="0"/>
    <n v="-41.05"/>
    <n v="2023"/>
    <x v="2"/>
    <n v="-3.7561993301978298E-2"/>
    <n v="1466.165"/>
    <n v="1466.165"/>
    <n v="527.93299390168841"/>
    <n v="278713.24605000019"/>
    <n v="746.61000000000013"/>
  </r>
  <r>
    <s v="CA-2020-1090"/>
    <s v="2020-10-05"/>
    <s v="Standard Class"/>
    <x v="1"/>
    <s v="East"/>
    <x v="2"/>
    <n v="1839.47"/>
    <n v="6"/>
    <n v="0.1"/>
    <n v="-71.59"/>
    <n v="2020"/>
    <x v="9"/>
    <n v="-3.8918819007648944E-2"/>
    <n v="1839.47"/>
    <n v="1839.47"/>
    <e v="#DIV/0!"/>
    <e v="#DIV/0!"/>
    <n v="0"/>
  </r>
  <r>
    <m/>
    <m/>
    <m/>
    <x v="3"/>
    <m/>
    <x v="3"/>
    <m/>
    <m/>
    <m/>
    <m/>
    <m/>
    <x v="12"/>
    <m/>
    <m/>
    <m/>
    <m/>
    <m/>
    <m/>
  </r>
  <r>
    <m/>
    <m/>
    <m/>
    <x v="3"/>
    <m/>
    <x v="3"/>
    <m/>
    <m/>
    <m/>
    <m/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21185-5C38-4308-B54B-2B50202B76F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 rowPageCount="1" colPageCount="1"/>
  <pivotFields count="18"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5">
        <item x="1"/>
        <item x="2"/>
        <item x="0"/>
        <item h="1" x="3"/>
        <item t="default"/>
      </items>
    </pivotField>
    <pivotField dataField="1" showAll="0"/>
    <pivotField showAll="0"/>
    <pivotField showAll="0"/>
    <pivotField dataField="1" showAll="0"/>
    <pivotField showAll="0"/>
    <pivotField axis="axisPage" showAll="0">
      <items count="14">
        <item x="3"/>
        <item x="0"/>
        <item x="10"/>
        <item x="7"/>
        <item x="2"/>
        <item x="6"/>
        <item x="1"/>
        <item x="4"/>
        <item x="8"/>
        <item x="9"/>
        <item x="11"/>
        <item x="5"/>
        <item x="1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Average of Sales" fld="6" subtotal="average" baseField="5" baseItem="0"/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57ED-A8F2-48A9-88C2-85066957F367}">
  <dimension ref="A1:C7"/>
  <sheetViews>
    <sheetView topLeftCell="B1" workbookViewId="0">
      <selection activeCell="A3" sqref="A3:XFD6"/>
    </sheetView>
  </sheetViews>
  <sheetFormatPr defaultRowHeight="14.4" x14ac:dyDescent="0.3"/>
  <cols>
    <col min="1" max="1" width="13.109375" bestFit="1" customWidth="1"/>
    <col min="2" max="2" width="14.88671875" bestFit="1" customWidth="1"/>
    <col min="3" max="3" width="12.109375" bestFit="1" customWidth="1"/>
    <col min="4" max="6" width="18.109375" bestFit="1" customWidth="1"/>
  </cols>
  <sheetData>
    <row r="1" spans="1:3" x14ac:dyDescent="0.3">
      <c r="A1" s="13" t="s">
        <v>413</v>
      </c>
      <c r="B1" t="s">
        <v>424</v>
      </c>
    </row>
    <row r="3" spans="1:3" x14ac:dyDescent="0.3">
      <c r="A3" s="13" t="s">
        <v>420</v>
      </c>
      <c r="B3" t="s">
        <v>423</v>
      </c>
      <c r="C3" t="s">
        <v>422</v>
      </c>
    </row>
    <row r="4" spans="1:3" x14ac:dyDescent="0.3">
      <c r="A4" s="14" t="s">
        <v>409</v>
      </c>
      <c r="B4" s="15">
        <v>996.91417910447785</v>
      </c>
      <c r="C4" s="15">
        <v>5975.37</v>
      </c>
    </row>
    <row r="5" spans="1:3" x14ac:dyDescent="0.3">
      <c r="A5" s="14" t="s">
        <v>410</v>
      </c>
      <c r="B5" s="15">
        <v>1011.3591549295772</v>
      </c>
      <c r="C5" s="15">
        <v>6205.8799999999992</v>
      </c>
    </row>
    <row r="6" spans="1:3" x14ac:dyDescent="0.3">
      <c r="A6" s="14" t="s">
        <v>411</v>
      </c>
      <c r="B6" s="15">
        <v>1059.6677419354837</v>
      </c>
      <c r="C6" s="15">
        <v>7054.69</v>
      </c>
    </row>
    <row r="7" spans="1:3" x14ac:dyDescent="0.3">
      <c r="A7" s="14" t="s">
        <v>421</v>
      </c>
      <c r="B7" s="15">
        <v>1021.4957500000002</v>
      </c>
      <c r="C7" s="15">
        <v>19235.939999999999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P1" workbookViewId="0">
      <pane ySplit="1" topLeftCell="A2" activePane="bottomLeft" state="frozen"/>
      <selection activeCell="K1" sqref="K1"/>
      <selection pane="bottomLeft" activeCell="T2" sqref="T2"/>
    </sheetView>
  </sheetViews>
  <sheetFormatPr defaultColWidth="17.21875" defaultRowHeight="14.4" x14ac:dyDescent="0.3"/>
  <cols>
    <col min="1" max="1" width="17.21875" style="1"/>
    <col min="2" max="2" width="17.21875" style="2"/>
    <col min="3" max="6" width="17.21875" style="1"/>
    <col min="7" max="7" width="17.21875" style="4"/>
    <col min="8" max="8" width="17.21875" style="5"/>
    <col min="9" max="9" width="17.21875" style="6"/>
    <col min="10" max="10" width="17.21875" style="4"/>
    <col min="14" max="15" width="17.21875" style="8"/>
    <col min="16" max="16" width="17.21875" style="9" customWidth="1"/>
  </cols>
  <sheetData>
    <row r="1" spans="1:20" s="11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412</v>
      </c>
      <c r="L1" s="12" t="s">
        <v>413</v>
      </c>
      <c r="M1" s="12" t="s">
        <v>414</v>
      </c>
      <c r="N1" s="12" t="s">
        <v>415</v>
      </c>
      <c r="O1" s="12" t="s">
        <v>416</v>
      </c>
      <c r="P1" s="12" t="s">
        <v>417</v>
      </c>
      <c r="Q1" s="7" t="s">
        <v>418</v>
      </c>
      <c r="R1" s="7" t="s">
        <v>419</v>
      </c>
      <c r="T1" s="11" t="s">
        <v>425</v>
      </c>
    </row>
    <row r="2" spans="1:20" x14ac:dyDescent="0.3">
      <c r="A2" s="1" t="s">
        <v>78</v>
      </c>
      <c r="B2" s="3" t="s">
        <v>278</v>
      </c>
      <c r="C2" s="1" t="s">
        <v>401</v>
      </c>
      <c r="D2" s="1" t="s">
        <v>403</v>
      </c>
      <c r="E2" s="1" t="s">
        <v>406</v>
      </c>
      <c r="F2" s="1" t="s">
        <v>411</v>
      </c>
      <c r="G2" s="4">
        <v>1943.1</v>
      </c>
      <c r="H2" s="5">
        <v>1</v>
      </c>
      <c r="I2" s="6">
        <v>0.3</v>
      </c>
      <c r="J2" s="4">
        <v>434.16</v>
      </c>
      <c r="K2">
        <f>YEAR(B2)</f>
        <v>2021</v>
      </c>
      <c r="L2" t="str">
        <f>TEXT(B2,"mmm")</f>
        <v>Feb</v>
      </c>
      <c r="M2" s="6">
        <f>J2/G2</f>
        <v>0.2234367762853173</v>
      </c>
      <c r="N2" s="8">
        <f>AVERAGE(G2:G201)</f>
        <v>1021.4957500000003</v>
      </c>
      <c r="O2" s="8">
        <f>MEDIAN(G2:G201)</f>
        <v>1001.51</v>
      </c>
      <c r="P2" s="9">
        <f>_xlfn.STDEV.S(G2:G201)</f>
        <v>571.65307387153211</v>
      </c>
      <c r="Q2">
        <f>_xlfn.VAR.S(G2:G201)</f>
        <v>326787.23686677142</v>
      </c>
      <c r="R2" s="4">
        <f>MAX(G2:G201)-MIN(G2:G201)</f>
        <v>1974.28</v>
      </c>
      <c r="T2">
        <f>CORREL(G2:G201, J2:J201)</f>
        <v>0.53594739917991341</v>
      </c>
    </row>
    <row r="3" spans="1:20" x14ac:dyDescent="0.3">
      <c r="A3" s="1" t="s">
        <v>34</v>
      </c>
      <c r="B3" s="3" t="s">
        <v>234</v>
      </c>
      <c r="C3" s="1" t="s">
        <v>401</v>
      </c>
      <c r="D3" s="1" t="s">
        <v>403</v>
      </c>
      <c r="E3" s="1" t="s">
        <v>407</v>
      </c>
      <c r="F3" s="1" t="s">
        <v>409</v>
      </c>
      <c r="G3" s="4">
        <v>1927.54</v>
      </c>
      <c r="H3" s="5">
        <v>3</v>
      </c>
      <c r="I3" s="6">
        <v>0</v>
      </c>
      <c r="J3" s="4">
        <v>433.22</v>
      </c>
      <c r="K3">
        <f>YEAR(B3)</f>
        <v>2021</v>
      </c>
      <c r="L3" t="str">
        <f>TEXT(B3,"mmm")</f>
        <v>Jul</v>
      </c>
      <c r="M3" s="6">
        <f>J3/G3</f>
        <v>0.22475279371634313</v>
      </c>
      <c r="N3" s="8">
        <f t="shared" ref="N3:N66" si="0">AVERAGE(G3:G202)</f>
        <v>1016.8645728643216</v>
      </c>
      <c r="O3" s="8">
        <f t="shared" ref="O3:O66" si="1">MEDIAN(G3:G202)</f>
        <v>998.14</v>
      </c>
      <c r="P3" s="9">
        <f t="shared" ref="P3:P66" si="2">_xlfn.STDEV.S(G3:G202)</f>
        <v>569.32104535005431</v>
      </c>
      <c r="Q3">
        <f t="shared" ref="Q3:Q66" si="3">_xlfn.VAR.S(G3:G202)</f>
        <v>324126.45267847856</v>
      </c>
      <c r="R3" s="4">
        <f t="shared" ref="R3:R66" si="4">MAX(G3:G202)-MIN(G3:G202)</f>
        <v>1974.28</v>
      </c>
    </row>
    <row r="4" spans="1:20" x14ac:dyDescent="0.3">
      <c r="A4" s="1" t="s">
        <v>33</v>
      </c>
      <c r="B4" s="3" t="s">
        <v>233</v>
      </c>
      <c r="C4" s="1" t="s">
        <v>400</v>
      </c>
      <c r="D4" s="1" t="s">
        <v>404</v>
      </c>
      <c r="E4" s="1" t="s">
        <v>408</v>
      </c>
      <c r="F4" s="1" t="s">
        <v>410</v>
      </c>
      <c r="G4" s="4">
        <v>1874.89</v>
      </c>
      <c r="H4" s="5">
        <v>7</v>
      </c>
      <c r="I4" s="6">
        <v>0.2</v>
      </c>
      <c r="J4" s="4">
        <v>419.76</v>
      </c>
      <c r="K4">
        <f>YEAR(B4)</f>
        <v>2023</v>
      </c>
      <c r="L4" t="str">
        <f>TEXT(B4,"mmm")</f>
        <v>May</v>
      </c>
      <c r="M4" s="6">
        <f>J4/G4</f>
        <v>0.22388513459456286</v>
      </c>
      <c r="N4" s="8">
        <f t="shared" si="0"/>
        <v>1012.2652020202022</v>
      </c>
      <c r="O4" s="8">
        <f t="shared" si="1"/>
        <v>987.9</v>
      </c>
      <c r="P4" s="9">
        <f t="shared" si="2"/>
        <v>567.04559554332661</v>
      </c>
      <c r="Q4">
        <f t="shared" si="3"/>
        <v>321540.70742508589</v>
      </c>
      <c r="R4" s="4">
        <f t="shared" si="4"/>
        <v>1974.28</v>
      </c>
    </row>
    <row r="5" spans="1:20" x14ac:dyDescent="0.3">
      <c r="A5" s="1" t="s">
        <v>117</v>
      </c>
      <c r="B5" s="3" t="s">
        <v>315</v>
      </c>
      <c r="C5" s="1" t="s">
        <v>400</v>
      </c>
      <c r="D5" s="1" t="s">
        <v>402</v>
      </c>
      <c r="E5" s="1" t="s">
        <v>407</v>
      </c>
      <c r="F5" s="1" t="s">
        <v>411</v>
      </c>
      <c r="G5" s="4">
        <v>1678.71</v>
      </c>
      <c r="H5" s="5">
        <v>4</v>
      </c>
      <c r="I5" s="6">
        <v>0</v>
      </c>
      <c r="J5" s="4">
        <v>413.9</v>
      </c>
      <c r="K5">
        <f>YEAR(B5)</f>
        <v>2021</v>
      </c>
      <c r="L5" t="str">
        <f>TEXT(B5,"mmm")</f>
        <v>Jan</v>
      </c>
      <c r="M5" s="6">
        <f>J5/G5</f>
        <v>0.24655836922398744</v>
      </c>
      <c r="N5" s="8">
        <f t="shared" si="0"/>
        <v>1007.8863959390865</v>
      </c>
      <c r="O5" s="8">
        <f t="shared" si="1"/>
        <v>977.66</v>
      </c>
      <c r="P5" s="9">
        <f t="shared" si="2"/>
        <v>565.12424385217753</v>
      </c>
      <c r="Q5">
        <f t="shared" si="3"/>
        <v>319365.4109894954</v>
      </c>
      <c r="R5" s="4">
        <f t="shared" si="4"/>
        <v>1974.28</v>
      </c>
    </row>
    <row r="6" spans="1:20" x14ac:dyDescent="0.3">
      <c r="A6" s="1" t="s">
        <v>121</v>
      </c>
      <c r="B6" s="3" t="s">
        <v>319</v>
      </c>
      <c r="C6" s="1" t="s">
        <v>398</v>
      </c>
      <c r="D6" s="1" t="s">
        <v>403</v>
      </c>
      <c r="E6" s="1" t="s">
        <v>405</v>
      </c>
      <c r="F6" s="1" t="s">
        <v>411</v>
      </c>
      <c r="G6" s="4">
        <v>1803.43</v>
      </c>
      <c r="H6" s="5">
        <v>6</v>
      </c>
      <c r="I6" s="6">
        <v>0.3</v>
      </c>
      <c r="J6" s="4">
        <v>397.61</v>
      </c>
      <c r="K6">
        <f>YEAR(B6)</f>
        <v>2022</v>
      </c>
      <c r="L6" t="str">
        <f>TEXT(B6,"mmm")</f>
        <v>Aug</v>
      </c>
      <c r="M6" s="6">
        <f>J6/G6</f>
        <v>0.22047431838219392</v>
      </c>
      <c r="N6" s="8">
        <f t="shared" si="0"/>
        <v>1004.4638265306126</v>
      </c>
      <c r="O6" s="8">
        <f t="shared" si="1"/>
        <v>974.12</v>
      </c>
      <c r="P6" s="9">
        <f t="shared" si="2"/>
        <v>564.52076478731169</v>
      </c>
      <c r="Q6">
        <f t="shared" si="3"/>
        <v>318683.69387605129</v>
      </c>
      <c r="R6" s="4">
        <f t="shared" si="4"/>
        <v>1974.28</v>
      </c>
    </row>
    <row r="7" spans="1:20" x14ac:dyDescent="0.3">
      <c r="A7" s="1" t="s">
        <v>166</v>
      </c>
      <c r="B7" s="3" t="s">
        <v>362</v>
      </c>
      <c r="C7" s="1" t="s">
        <v>399</v>
      </c>
      <c r="D7" s="1" t="s">
        <v>404</v>
      </c>
      <c r="E7" s="1" t="s">
        <v>407</v>
      </c>
      <c r="F7" s="1" t="s">
        <v>410</v>
      </c>
      <c r="G7" s="4">
        <v>1955.73</v>
      </c>
      <c r="H7" s="5">
        <v>1</v>
      </c>
      <c r="I7" s="6">
        <v>0.2</v>
      </c>
      <c r="J7" s="4">
        <v>389.42</v>
      </c>
      <c r="K7">
        <f>YEAR(B7)</f>
        <v>2020</v>
      </c>
      <c r="L7" t="str">
        <f>TEXT(B7,"mmm")</f>
        <v>Dec</v>
      </c>
      <c r="M7" s="6">
        <f>J7/G7</f>
        <v>0.19911746508976189</v>
      </c>
      <c r="N7" s="8">
        <f t="shared" si="0"/>
        <v>1000.3665641025644</v>
      </c>
      <c r="O7" s="8">
        <f t="shared" si="1"/>
        <v>970.58</v>
      </c>
      <c r="P7" s="9">
        <f t="shared" si="2"/>
        <v>563.04446632459826</v>
      </c>
      <c r="Q7">
        <f t="shared" si="3"/>
        <v>317019.07105875167</v>
      </c>
      <c r="R7" s="4">
        <f t="shared" si="4"/>
        <v>1974.28</v>
      </c>
    </row>
    <row r="8" spans="1:20" x14ac:dyDescent="0.3">
      <c r="A8" s="1" t="s">
        <v>77</v>
      </c>
      <c r="B8" s="3" t="s">
        <v>277</v>
      </c>
      <c r="C8" s="1" t="s">
        <v>401</v>
      </c>
      <c r="D8" s="1" t="s">
        <v>402</v>
      </c>
      <c r="E8" s="1" t="s">
        <v>407</v>
      </c>
      <c r="F8" s="1" t="s">
        <v>411</v>
      </c>
      <c r="G8" s="4">
        <v>1953.24</v>
      </c>
      <c r="H8" s="5">
        <v>5</v>
      </c>
      <c r="I8" s="6">
        <v>0</v>
      </c>
      <c r="J8" s="4">
        <v>385.96</v>
      </c>
      <c r="K8">
        <f>YEAR(B8)</f>
        <v>2021</v>
      </c>
      <c r="L8" t="str">
        <f>TEXT(B8,"mmm")</f>
        <v>Jun</v>
      </c>
      <c r="M8" s="6">
        <f>J8/G8</f>
        <v>0.19759988531875242</v>
      </c>
      <c r="N8" s="8">
        <f t="shared" si="0"/>
        <v>995.44201030927866</v>
      </c>
      <c r="O8" s="8">
        <f t="shared" si="1"/>
        <v>961.28</v>
      </c>
      <c r="P8" s="9">
        <f t="shared" si="2"/>
        <v>560.2750793304441</v>
      </c>
      <c r="Q8">
        <f t="shared" si="3"/>
        <v>313908.16451873543</v>
      </c>
      <c r="R8" s="4">
        <f t="shared" si="4"/>
        <v>1974.28</v>
      </c>
    </row>
    <row r="9" spans="1:20" x14ac:dyDescent="0.3">
      <c r="A9" s="1" t="s">
        <v>25</v>
      </c>
      <c r="B9" s="3" t="s">
        <v>225</v>
      </c>
      <c r="C9" s="1" t="s">
        <v>399</v>
      </c>
      <c r="D9" s="1" t="s">
        <v>403</v>
      </c>
      <c r="E9" s="1" t="s">
        <v>406</v>
      </c>
      <c r="F9" s="1" t="s">
        <v>409</v>
      </c>
      <c r="G9" s="4">
        <v>1543</v>
      </c>
      <c r="H9" s="5">
        <v>2</v>
      </c>
      <c r="I9" s="6">
        <v>0.1</v>
      </c>
      <c r="J9" s="4">
        <v>380.27</v>
      </c>
      <c r="K9">
        <f>YEAR(B9)</f>
        <v>2021</v>
      </c>
      <c r="L9" t="str">
        <f>TEXT(B9,"mmm")</f>
        <v>Apr</v>
      </c>
      <c r="M9" s="6">
        <f>J9/G9</f>
        <v>0.24644847699287101</v>
      </c>
      <c r="N9" s="8">
        <f t="shared" si="0"/>
        <v>990.47932642487081</v>
      </c>
      <c r="O9" s="8">
        <f t="shared" si="1"/>
        <v>951.98</v>
      </c>
      <c r="P9" s="9">
        <f t="shared" si="2"/>
        <v>557.44088585328745</v>
      </c>
      <c r="Q9">
        <f t="shared" si="3"/>
        <v>310740.3412208978</v>
      </c>
      <c r="R9" s="4">
        <f t="shared" si="4"/>
        <v>1974.28</v>
      </c>
    </row>
    <row r="10" spans="1:20" x14ac:dyDescent="0.3">
      <c r="A10" s="1" t="s">
        <v>176</v>
      </c>
      <c r="B10" s="3" t="s">
        <v>334</v>
      </c>
      <c r="C10" s="1" t="s">
        <v>398</v>
      </c>
      <c r="D10" s="1" t="s">
        <v>402</v>
      </c>
      <c r="E10" s="1" t="s">
        <v>405</v>
      </c>
      <c r="F10" s="1" t="s">
        <v>409</v>
      </c>
      <c r="G10" s="4">
        <v>1868.4</v>
      </c>
      <c r="H10" s="5">
        <v>6</v>
      </c>
      <c r="I10" s="6">
        <v>0.1</v>
      </c>
      <c r="J10" s="4">
        <v>373.61</v>
      </c>
      <c r="K10">
        <f>YEAR(B10)</f>
        <v>2021</v>
      </c>
      <c r="L10" t="str">
        <f>TEXT(B10,"mmm")</f>
        <v>Sep</v>
      </c>
      <c r="M10" s="6">
        <f>J10/G10</f>
        <v>0.19996253478912437</v>
      </c>
      <c r="N10" s="8">
        <f t="shared" si="0"/>
        <v>987.60161458333369</v>
      </c>
      <c r="O10" s="8">
        <f t="shared" si="1"/>
        <v>948.06999999999994</v>
      </c>
      <c r="P10" s="9">
        <f t="shared" si="2"/>
        <v>557.45906535980669</v>
      </c>
      <c r="Q10">
        <f t="shared" si="3"/>
        <v>310760.60955182917</v>
      </c>
      <c r="R10" s="4">
        <f t="shared" si="4"/>
        <v>1974.28</v>
      </c>
    </row>
    <row r="11" spans="1:20" x14ac:dyDescent="0.3">
      <c r="A11" s="1" t="s">
        <v>92</v>
      </c>
      <c r="B11" s="3" t="s">
        <v>292</v>
      </c>
      <c r="C11" s="1" t="s">
        <v>398</v>
      </c>
      <c r="D11" s="1" t="s">
        <v>403</v>
      </c>
      <c r="E11" s="1" t="s">
        <v>408</v>
      </c>
      <c r="F11" s="1" t="s">
        <v>410</v>
      </c>
      <c r="G11" s="4">
        <v>1743.7</v>
      </c>
      <c r="H11" s="5">
        <v>6</v>
      </c>
      <c r="I11" s="6">
        <v>0.3</v>
      </c>
      <c r="J11" s="4">
        <v>371.84</v>
      </c>
      <c r="K11">
        <f>YEAR(B11)</f>
        <v>2020</v>
      </c>
      <c r="L11" t="str">
        <f>TEXT(B11,"mmm")</f>
        <v>Jul</v>
      </c>
      <c r="M11" s="6">
        <f>J11/G11</f>
        <v>0.21324769169008428</v>
      </c>
      <c r="N11" s="8">
        <f t="shared" si="0"/>
        <v>982.99010471204213</v>
      </c>
      <c r="O11" s="8">
        <f t="shared" si="1"/>
        <v>944.16</v>
      </c>
      <c r="P11" s="9">
        <f t="shared" si="2"/>
        <v>555.24015106882916</v>
      </c>
      <c r="Q11">
        <f t="shared" si="3"/>
        <v>308291.6253589362</v>
      </c>
      <c r="R11" s="4">
        <f t="shared" si="4"/>
        <v>1974.28</v>
      </c>
    </row>
    <row r="12" spans="1:20" x14ac:dyDescent="0.3">
      <c r="A12" s="1" t="s">
        <v>91</v>
      </c>
      <c r="B12" s="3" t="s">
        <v>291</v>
      </c>
      <c r="C12" s="1" t="s">
        <v>399</v>
      </c>
      <c r="D12" s="1" t="s">
        <v>402</v>
      </c>
      <c r="E12" s="1" t="s">
        <v>406</v>
      </c>
      <c r="F12" s="1" t="s">
        <v>410</v>
      </c>
      <c r="G12" s="4">
        <v>1431.71</v>
      </c>
      <c r="H12" s="5">
        <v>7</v>
      </c>
      <c r="I12" s="6">
        <v>0.1</v>
      </c>
      <c r="J12" s="4">
        <v>353.62</v>
      </c>
      <c r="K12">
        <f>YEAR(B12)</f>
        <v>2022</v>
      </c>
      <c r="L12" t="str">
        <f>TEXT(B12,"mmm")</f>
        <v>Apr</v>
      </c>
      <c r="M12" s="6">
        <f>J12/G12</f>
        <v>0.24699135998211927</v>
      </c>
      <c r="N12" s="8">
        <f t="shared" si="0"/>
        <v>978.98636842105293</v>
      </c>
      <c r="O12" s="8">
        <f t="shared" si="1"/>
        <v>940.01</v>
      </c>
      <c r="P12" s="9">
        <f t="shared" si="2"/>
        <v>553.93581462838415</v>
      </c>
      <c r="Q12">
        <f t="shared" si="3"/>
        <v>306844.8867280116</v>
      </c>
      <c r="R12" s="4">
        <f t="shared" si="4"/>
        <v>1974.28</v>
      </c>
    </row>
    <row r="13" spans="1:20" x14ac:dyDescent="0.3">
      <c r="A13" s="1" t="s">
        <v>32</v>
      </c>
      <c r="B13" s="3" t="s">
        <v>232</v>
      </c>
      <c r="C13" s="1" t="s">
        <v>398</v>
      </c>
      <c r="D13" s="1" t="s">
        <v>404</v>
      </c>
      <c r="E13" s="1" t="s">
        <v>408</v>
      </c>
      <c r="F13" s="1" t="s">
        <v>411</v>
      </c>
      <c r="G13" s="4">
        <v>1660.31</v>
      </c>
      <c r="H13" s="5">
        <v>8</v>
      </c>
      <c r="I13" s="6">
        <v>0</v>
      </c>
      <c r="J13" s="4">
        <v>339.29</v>
      </c>
      <c r="K13">
        <f>YEAR(B13)</f>
        <v>2022</v>
      </c>
      <c r="L13" t="str">
        <f>TEXT(B13,"mmm")</f>
        <v>Oct</v>
      </c>
      <c r="M13" s="6">
        <f>J13/G13</f>
        <v>0.20435340388240752</v>
      </c>
      <c r="N13" s="8">
        <f t="shared" si="0"/>
        <v>976.59100529100556</v>
      </c>
      <c r="O13" s="8">
        <f t="shared" si="1"/>
        <v>935.86</v>
      </c>
      <c r="P13" s="9">
        <f t="shared" si="2"/>
        <v>554.41957605818459</v>
      </c>
      <c r="Q13">
        <f t="shared" si="3"/>
        <v>307381.06631653709</v>
      </c>
      <c r="R13" s="4">
        <f t="shared" si="4"/>
        <v>1974.28</v>
      </c>
    </row>
    <row r="14" spans="1:20" x14ac:dyDescent="0.3">
      <c r="A14" s="1" t="s">
        <v>42</v>
      </c>
      <c r="B14" s="3" t="s">
        <v>242</v>
      </c>
      <c r="C14" s="1" t="s">
        <v>399</v>
      </c>
      <c r="D14" s="1" t="s">
        <v>404</v>
      </c>
      <c r="E14" s="1" t="s">
        <v>405</v>
      </c>
      <c r="F14" s="1" t="s">
        <v>410</v>
      </c>
      <c r="G14" s="4">
        <v>1373.46</v>
      </c>
      <c r="H14" s="5">
        <v>4</v>
      </c>
      <c r="I14" s="6">
        <v>0</v>
      </c>
      <c r="J14" s="4">
        <v>324.87</v>
      </c>
      <c r="K14">
        <f>YEAR(B14)</f>
        <v>2022</v>
      </c>
      <c r="L14" t="str">
        <f>TEXT(B14,"mmm")</f>
        <v>Jul</v>
      </c>
      <c r="M14" s="6">
        <f>J14/G14</f>
        <v>0.23653400899916999</v>
      </c>
      <c r="N14" s="8">
        <f t="shared" si="0"/>
        <v>972.95420212765976</v>
      </c>
      <c r="O14" s="8">
        <f t="shared" si="1"/>
        <v>935.81500000000005</v>
      </c>
      <c r="P14" s="9">
        <f t="shared" si="2"/>
        <v>553.63496078086075</v>
      </c>
      <c r="Q14">
        <f t="shared" si="3"/>
        <v>306511.66979882517</v>
      </c>
      <c r="R14" s="4">
        <f t="shared" si="4"/>
        <v>1974.28</v>
      </c>
    </row>
    <row r="15" spans="1:20" x14ac:dyDescent="0.3">
      <c r="A15" s="1" t="s">
        <v>120</v>
      </c>
      <c r="B15" s="3" t="s">
        <v>318</v>
      </c>
      <c r="C15" s="1" t="s">
        <v>399</v>
      </c>
      <c r="D15" s="1" t="s">
        <v>403</v>
      </c>
      <c r="E15" s="1" t="s">
        <v>405</v>
      </c>
      <c r="F15" s="1" t="s">
        <v>409</v>
      </c>
      <c r="G15" s="4">
        <v>1573.98</v>
      </c>
      <c r="H15" s="5">
        <v>2</v>
      </c>
      <c r="I15" s="6">
        <v>0.1</v>
      </c>
      <c r="J15" s="4">
        <v>304.52999999999997</v>
      </c>
      <c r="K15">
        <f>YEAR(B15)</f>
        <v>2020</v>
      </c>
      <c r="L15" t="str">
        <f>TEXT(B15,"mmm")</f>
        <v>Sep</v>
      </c>
      <c r="M15" s="6">
        <f>J15/G15</f>
        <v>0.19347768078374564</v>
      </c>
      <c r="N15" s="8">
        <f t="shared" si="0"/>
        <v>970.81245989304841</v>
      </c>
      <c r="O15" s="8">
        <f t="shared" si="1"/>
        <v>935.77</v>
      </c>
      <c r="P15" s="9">
        <f t="shared" si="2"/>
        <v>554.33976799135758</v>
      </c>
      <c r="Q15">
        <f t="shared" si="3"/>
        <v>307292.57837671216</v>
      </c>
      <c r="R15" s="4">
        <f t="shared" si="4"/>
        <v>1974.28</v>
      </c>
    </row>
    <row r="16" spans="1:20" x14ac:dyDescent="0.3">
      <c r="A16" s="1" t="s">
        <v>97</v>
      </c>
      <c r="B16" s="3" t="s">
        <v>265</v>
      </c>
      <c r="C16" s="1" t="s">
        <v>400</v>
      </c>
      <c r="D16" s="1" t="s">
        <v>404</v>
      </c>
      <c r="E16" s="1" t="s">
        <v>406</v>
      </c>
      <c r="F16" s="1" t="s">
        <v>409</v>
      </c>
      <c r="G16" s="4">
        <v>1230.77</v>
      </c>
      <c r="H16" s="5">
        <v>1</v>
      </c>
      <c r="I16" s="6">
        <v>0.1</v>
      </c>
      <c r="J16" s="4">
        <v>297.88</v>
      </c>
      <c r="K16">
        <f>YEAR(B16)</f>
        <v>2022</v>
      </c>
      <c r="L16" t="str">
        <f>TEXT(B16,"mmm")</f>
        <v>Mar</v>
      </c>
      <c r="M16" s="6">
        <f>J16/G16</f>
        <v>0.24202734873290704</v>
      </c>
      <c r="N16" s="8">
        <f t="shared" si="0"/>
        <v>967.56962365591437</v>
      </c>
      <c r="O16" s="8">
        <f t="shared" si="1"/>
        <v>927.82999999999993</v>
      </c>
      <c r="P16" s="9">
        <f t="shared" si="2"/>
        <v>554.05460031004372</v>
      </c>
      <c r="Q16">
        <f t="shared" si="3"/>
        <v>306976.50012472225</v>
      </c>
      <c r="R16" s="4">
        <f t="shared" si="4"/>
        <v>1974.28</v>
      </c>
    </row>
    <row r="17" spans="1:18" x14ac:dyDescent="0.3">
      <c r="A17" s="1" t="s">
        <v>125</v>
      </c>
      <c r="B17" s="3" t="s">
        <v>323</v>
      </c>
      <c r="C17" s="1" t="s">
        <v>400</v>
      </c>
      <c r="D17" s="1" t="s">
        <v>402</v>
      </c>
      <c r="E17" s="1" t="s">
        <v>405</v>
      </c>
      <c r="F17" s="1" t="s">
        <v>411</v>
      </c>
      <c r="G17" s="4">
        <v>1860.09</v>
      </c>
      <c r="H17" s="5">
        <v>7</v>
      </c>
      <c r="I17" s="6">
        <v>0.2</v>
      </c>
      <c r="J17" s="4">
        <v>291.70999999999998</v>
      </c>
      <c r="K17">
        <f>YEAR(B17)</f>
        <v>2021</v>
      </c>
      <c r="L17" t="str">
        <f>TEXT(B17,"mmm")</f>
        <v>Dec</v>
      </c>
      <c r="M17" s="6">
        <f>J17/G17</f>
        <v>0.15682574499083377</v>
      </c>
      <c r="N17" s="8">
        <f t="shared" si="0"/>
        <v>966.14691891891914</v>
      </c>
      <c r="O17" s="8">
        <f t="shared" si="1"/>
        <v>919.89</v>
      </c>
      <c r="P17" s="9">
        <f t="shared" si="2"/>
        <v>555.21736650448247</v>
      </c>
      <c r="Q17">
        <f t="shared" si="3"/>
        <v>308266.32406817278</v>
      </c>
      <c r="R17" s="4">
        <f t="shared" si="4"/>
        <v>1974.28</v>
      </c>
    </row>
    <row r="18" spans="1:18" x14ac:dyDescent="0.3">
      <c r="A18" s="1" t="s">
        <v>47</v>
      </c>
      <c r="B18" s="3" t="s">
        <v>247</v>
      </c>
      <c r="C18" s="1" t="s">
        <v>398</v>
      </c>
      <c r="D18" s="1" t="s">
        <v>403</v>
      </c>
      <c r="E18" s="1" t="s">
        <v>406</v>
      </c>
      <c r="F18" s="1" t="s">
        <v>409</v>
      </c>
      <c r="G18" s="4">
        <v>1993.14</v>
      </c>
      <c r="H18" s="5">
        <v>5</v>
      </c>
      <c r="I18" s="6">
        <v>0.1</v>
      </c>
      <c r="J18" s="4">
        <v>287.14</v>
      </c>
      <c r="K18">
        <f>YEAR(B18)</f>
        <v>2023</v>
      </c>
      <c r="L18" t="str">
        <f>TEXT(B18,"mmm")</f>
        <v>Sep</v>
      </c>
      <c r="M18" s="6">
        <f>J18/G18</f>
        <v>0.14406414000020068</v>
      </c>
      <c r="N18" s="8">
        <f t="shared" si="0"/>
        <v>961.28853260869585</v>
      </c>
      <c r="O18" s="8">
        <f t="shared" si="1"/>
        <v>911.03499999999997</v>
      </c>
      <c r="P18" s="9">
        <f t="shared" si="2"/>
        <v>552.77504725847177</v>
      </c>
      <c r="Q18">
        <f t="shared" si="3"/>
        <v>305560.25287160568</v>
      </c>
      <c r="R18" s="4">
        <f t="shared" si="4"/>
        <v>1974.28</v>
      </c>
    </row>
    <row r="19" spans="1:18" x14ac:dyDescent="0.3">
      <c r="A19" s="1" t="s">
        <v>157</v>
      </c>
      <c r="B19" s="3" t="s">
        <v>353</v>
      </c>
      <c r="C19" s="1" t="s">
        <v>399</v>
      </c>
      <c r="D19" s="1" t="s">
        <v>404</v>
      </c>
      <c r="E19" s="1" t="s">
        <v>406</v>
      </c>
      <c r="F19" s="1" t="s">
        <v>411</v>
      </c>
      <c r="G19" s="4">
        <v>1357.44</v>
      </c>
      <c r="H19" s="5">
        <v>4</v>
      </c>
      <c r="I19" s="6">
        <v>0.1</v>
      </c>
      <c r="J19" s="4">
        <v>282.04000000000002</v>
      </c>
      <c r="K19">
        <f>YEAR(B19)</f>
        <v>2023</v>
      </c>
      <c r="L19" t="str">
        <f>TEXT(B19,"mmm")</f>
        <v>Feb</v>
      </c>
      <c r="M19" s="6">
        <f>J19/G19</f>
        <v>0.20777345591702029</v>
      </c>
      <c r="N19" s="8">
        <f t="shared" si="0"/>
        <v>955.6500000000002</v>
      </c>
      <c r="O19" s="8">
        <f t="shared" si="1"/>
        <v>902.18</v>
      </c>
      <c r="P19" s="9">
        <f t="shared" si="2"/>
        <v>548.96000923524537</v>
      </c>
      <c r="Q19">
        <f t="shared" si="3"/>
        <v>301357.09173956071</v>
      </c>
      <c r="R19" s="4">
        <f t="shared" si="4"/>
        <v>1974.28</v>
      </c>
    </row>
    <row r="20" spans="1:18" x14ac:dyDescent="0.3">
      <c r="A20" s="1" t="s">
        <v>203</v>
      </c>
      <c r="B20" s="3" t="s">
        <v>393</v>
      </c>
      <c r="C20" s="1" t="s">
        <v>400</v>
      </c>
      <c r="D20" s="1" t="s">
        <v>404</v>
      </c>
      <c r="E20" s="1" t="s">
        <v>407</v>
      </c>
      <c r="F20" s="1" t="s">
        <v>411</v>
      </c>
      <c r="G20" s="4">
        <v>1883.96</v>
      </c>
      <c r="H20" s="5">
        <v>1</v>
      </c>
      <c r="I20" s="6">
        <v>0.2</v>
      </c>
      <c r="J20" s="4">
        <v>279.29000000000002</v>
      </c>
      <c r="K20">
        <f>YEAR(B20)</f>
        <v>2021</v>
      </c>
      <c r="L20" t="str">
        <f>TEXT(B20,"mmm")</f>
        <v>Apr</v>
      </c>
      <c r="M20" s="6">
        <f>J20/G20</f>
        <v>0.14824624726639632</v>
      </c>
      <c r="N20" s="8">
        <f t="shared" si="0"/>
        <v>953.44236263736286</v>
      </c>
      <c r="O20" s="8">
        <f t="shared" si="1"/>
        <v>901.97499999999991</v>
      </c>
      <c r="P20" s="9">
        <f t="shared" si="2"/>
        <v>549.65920373764607</v>
      </c>
      <c r="Q20">
        <f t="shared" si="3"/>
        <v>302125.24025350314</v>
      </c>
      <c r="R20" s="4">
        <f t="shared" si="4"/>
        <v>1974.28</v>
      </c>
    </row>
    <row r="21" spans="1:18" x14ac:dyDescent="0.3">
      <c r="A21" s="1" t="s">
        <v>28</v>
      </c>
      <c r="B21" s="3" t="s">
        <v>228</v>
      </c>
      <c r="C21" s="1" t="s">
        <v>401</v>
      </c>
      <c r="D21" s="1" t="s">
        <v>403</v>
      </c>
      <c r="E21" s="1" t="s">
        <v>406</v>
      </c>
      <c r="F21" s="1" t="s">
        <v>410</v>
      </c>
      <c r="G21" s="4">
        <v>1329.95</v>
      </c>
      <c r="H21" s="5">
        <v>8</v>
      </c>
      <c r="I21" s="6">
        <v>0.2</v>
      </c>
      <c r="J21" s="4">
        <v>273.77999999999997</v>
      </c>
      <c r="K21">
        <f>YEAR(B21)</f>
        <v>2022</v>
      </c>
      <c r="L21" t="str">
        <f>TEXT(B21,"mmm")</f>
        <v>May</v>
      </c>
      <c r="M21" s="6">
        <f>J21/G21</f>
        <v>0.20585736305876157</v>
      </c>
      <c r="N21" s="8">
        <f t="shared" si="0"/>
        <v>948.30138121546986</v>
      </c>
      <c r="O21" s="8">
        <f t="shared" si="1"/>
        <v>901.77</v>
      </c>
      <c r="P21" s="9">
        <f t="shared" si="2"/>
        <v>546.7785537865027</v>
      </c>
      <c r="Q21">
        <f t="shared" si="3"/>
        <v>298966.78688085941</v>
      </c>
      <c r="R21" s="4">
        <f t="shared" si="4"/>
        <v>1974.28</v>
      </c>
    </row>
    <row r="22" spans="1:18" x14ac:dyDescent="0.3">
      <c r="A22" s="1" t="s">
        <v>90</v>
      </c>
      <c r="B22" s="3" t="s">
        <v>290</v>
      </c>
      <c r="C22" s="1" t="s">
        <v>401</v>
      </c>
      <c r="D22" s="1" t="s">
        <v>403</v>
      </c>
      <c r="E22" s="1" t="s">
        <v>405</v>
      </c>
      <c r="F22" s="1" t="s">
        <v>411</v>
      </c>
      <c r="G22" s="4">
        <v>1562.29</v>
      </c>
      <c r="H22" s="5">
        <v>7</v>
      </c>
      <c r="I22" s="6">
        <v>0.2</v>
      </c>
      <c r="J22" s="4">
        <v>266.58999999999997</v>
      </c>
      <c r="K22">
        <f>YEAR(B22)</f>
        <v>2021</v>
      </c>
      <c r="L22" t="str">
        <f>TEXT(B22,"mmm")</f>
        <v>Sep</v>
      </c>
      <c r="M22" s="6">
        <f>J22/G22</f>
        <v>0.17064053408778138</v>
      </c>
      <c r="N22" s="8">
        <f t="shared" si="0"/>
        <v>946.18111111111125</v>
      </c>
      <c r="O22" s="8">
        <f t="shared" si="1"/>
        <v>900.8</v>
      </c>
      <c r="P22" s="9">
        <f t="shared" si="2"/>
        <v>547.55707731449706</v>
      </c>
      <c r="Q22">
        <f t="shared" si="3"/>
        <v>299818.75291719416</v>
      </c>
      <c r="R22" s="4">
        <f t="shared" si="4"/>
        <v>1974.28</v>
      </c>
    </row>
    <row r="23" spans="1:18" x14ac:dyDescent="0.3">
      <c r="A23" s="1" t="s">
        <v>23</v>
      </c>
      <c r="B23" s="3" t="s">
        <v>223</v>
      </c>
      <c r="C23" s="1" t="s">
        <v>398</v>
      </c>
      <c r="D23" s="1" t="s">
        <v>404</v>
      </c>
      <c r="E23" s="1" t="s">
        <v>408</v>
      </c>
      <c r="F23" s="1" t="s">
        <v>411</v>
      </c>
      <c r="G23" s="4">
        <v>1199.48</v>
      </c>
      <c r="H23" s="5">
        <v>5</v>
      </c>
      <c r="I23" s="6">
        <v>0.2</v>
      </c>
      <c r="J23" s="4">
        <v>262.42</v>
      </c>
      <c r="K23">
        <f>YEAR(B23)</f>
        <v>2022</v>
      </c>
      <c r="L23" t="str">
        <f>TEXT(B23,"mmm")</f>
        <v>Mar</v>
      </c>
      <c r="M23" s="6">
        <f>J23/G23</f>
        <v>0.21877813719278355</v>
      </c>
      <c r="N23" s="8">
        <f t="shared" si="0"/>
        <v>942.73916201117345</v>
      </c>
      <c r="O23" s="8">
        <f t="shared" si="1"/>
        <v>899.83</v>
      </c>
      <c r="P23" s="9">
        <f t="shared" si="2"/>
        <v>547.13680680272478</v>
      </c>
      <c r="Q23">
        <f t="shared" si="3"/>
        <v>299358.68535828224</v>
      </c>
      <c r="R23" s="4">
        <f t="shared" si="4"/>
        <v>1974.28</v>
      </c>
    </row>
    <row r="24" spans="1:18" x14ac:dyDescent="0.3">
      <c r="A24" s="1" t="s">
        <v>200</v>
      </c>
      <c r="B24" s="3" t="s">
        <v>391</v>
      </c>
      <c r="C24" s="1" t="s">
        <v>399</v>
      </c>
      <c r="D24" s="1" t="s">
        <v>403</v>
      </c>
      <c r="E24" s="1" t="s">
        <v>405</v>
      </c>
      <c r="F24" s="1" t="s">
        <v>410</v>
      </c>
      <c r="G24" s="4">
        <v>1901.5</v>
      </c>
      <c r="H24" s="5">
        <v>2</v>
      </c>
      <c r="I24" s="6">
        <v>0.2</v>
      </c>
      <c r="J24" s="4">
        <v>256.14999999999998</v>
      </c>
      <c r="K24">
        <f>YEAR(B24)</f>
        <v>2020</v>
      </c>
      <c r="L24" t="str">
        <f>TEXT(B24,"mmm")</f>
        <v>Jan</v>
      </c>
      <c r="M24" s="6">
        <f>J24/G24</f>
        <v>0.13470943991585588</v>
      </c>
      <c r="N24" s="8">
        <f t="shared" si="0"/>
        <v>941.29679775280943</v>
      </c>
      <c r="O24" s="8">
        <f t="shared" si="1"/>
        <v>897.22</v>
      </c>
      <c r="P24" s="9">
        <f t="shared" si="2"/>
        <v>548.33883614126819</v>
      </c>
      <c r="Q24">
        <f t="shared" si="3"/>
        <v>300675.47922076058</v>
      </c>
      <c r="R24" s="4">
        <f t="shared" si="4"/>
        <v>1974.28</v>
      </c>
    </row>
    <row r="25" spans="1:18" x14ac:dyDescent="0.3">
      <c r="A25" s="1" t="s">
        <v>93</v>
      </c>
      <c r="B25" s="3" t="s">
        <v>293</v>
      </c>
      <c r="C25" s="1" t="s">
        <v>399</v>
      </c>
      <c r="D25" s="1" t="s">
        <v>404</v>
      </c>
      <c r="E25" s="1" t="s">
        <v>406</v>
      </c>
      <c r="F25" s="1" t="s">
        <v>409</v>
      </c>
      <c r="G25" s="4">
        <v>1095.6300000000001</v>
      </c>
      <c r="H25" s="5">
        <v>6</v>
      </c>
      <c r="I25" s="6">
        <v>0</v>
      </c>
      <c r="J25" s="4">
        <v>246.4</v>
      </c>
      <c r="K25">
        <f>YEAR(B25)</f>
        <v>2021</v>
      </c>
      <c r="L25" t="str">
        <f>TEXT(B25,"mmm")</f>
        <v>Mar</v>
      </c>
      <c r="M25" s="6">
        <f>J25/G25</f>
        <v>0.22489344030375216</v>
      </c>
      <c r="N25" s="8">
        <f t="shared" si="0"/>
        <v>935.87192090395524</v>
      </c>
      <c r="O25" s="8">
        <f t="shared" si="1"/>
        <v>894.61</v>
      </c>
      <c r="P25" s="9">
        <f t="shared" si="2"/>
        <v>545.08319135886984</v>
      </c>
      <c r="Q25">
        <f t="shared" si="3"/>
        <v>297115.68550197035</v>
      </c>
      <c r="R25" s="4">
        <f t="shared" si="4"/>
        <v>1974.28</v>
      </c>
    </row>
    <row r="26" spans="1:18" x14ac:dyDescent="0.3">
      <c r="A26" s="1" t="s">
        <v>88</v>
      </c>
      <c r="B26" s="3" t="s">
        <v>288</v>
      </c>
      <c r="C26" s="1" t="s">
        <v>399</v>
      </c>
      <c r="D26" s="1" t="s">
        <v>404</v>
      </c>
      <c r="E26" s="1" t="s">
        <v>406</v>
      </c>
      <c r="F26" s="1" t="s">
        <v>409</v>
      </c>
      <c r="G26" s="4">
        <v>1584.15</v>
      </c>
      <c r="H26" s="5">
        <v>10</v>
      </c>
      <c r="I26" s="6">
        <v>0.1</v>
      </c>
      <c r="J26" s="4">
        <v>245.82</v>
      </c>
      <c r="K26">
        <f>YEAR(B26)</f>
        <v>2023</v>
      </c>
      <c r="L26" t="str">
        <f>TEXT(B26,"mmm")</f>
        <v>Jul</v>
      </c>
      <c r="M26" s="6">
        <f>J26/G26</f>
        <v>0.15517469936559036</v>
      </c>
      <c r="N26" s="8">
        <f t="shared" si="0"/>
        <v>934.96420454545489</v>
      </c>
      <c r="O26" s="8">
        <f t="shared" si="1"/>
        <v>892.91499999999996</v>
      </c>
      <c r="P26" s="9">
        <f t="shared" si="2"/>
        <v>546.50417846782443</v>
      </c>
      <c r="Q26">
        <f t="shared" si="3"/>
        <v>298666.81708279165</v>
      </c>
      <c r="R26" s="4">
        <f t="shared" si="4"/>
        <v>1974.28</v>
      </c>
    </row>
    <row r="27" spans="1:18" x14ac:dyDescent="0.3">
      <c r="A27" s="1" t="s">
        <v>104</v>
      </c>
      <c r="B27" s="3" t="s">
        <v>303</v>
      </c>
      <c r="C27" s="1" t="s">
        <v>398</v>
      </c>
      <c r="D27" s="1" t="s">
        <v>404</v>
      </c>
      <c r="E27" s="1" t="s">
        <v>406</v>
      </c>
      <c r="F27" s="1" t="s">
        <v>411</v>
      </c>
      <c r="G27" s="4">
        <v>1053.6500000000001</v>
      </c>
      <c r="H27" s="5">
        <v>4</v>
      </c>
      <c r="I27" s="6">
        <v>0.2</v>
      </c>
      <c r="J27" s="4">
        <v>242.59</v>
      </c>
      <c r="K27">
        <f>YEAR(B27)</f>
        <v>2021</v>
      </c>
      <c r="L27" t="str">
        <f>TEXT(B27,"mmm")</f>
        <v>Jul</v>
      </c>
      <c r="M27" s="6">
        <f>J27/G27</f>
        <v>0.23023774498173016</v>
      </c>
      <c r="N27" s="8">
        <f t="shared" si="0"/>
        <v>931.25457142857181</v>
      </c>
      <c r="O27" s="8">
        <f t="shared" si="1"/>
        <v>891.22</v>
      </c>
      <c r="P27" s="9">
        <f t="shared" si="2"/>
        <v>545.84555598147756</v>
      </c>
      <c r="Q27">
        <f t="shared" si="3"/>
        <v>297947.37098472833</v>
      </c>
      <c r="R27" s="4">
        <f t="shared" si="4"/>
        <v>1974.28</v>
      </c>
    </row>
    <row r="28" spans="1:18" x14ac:dyDescent="0.3">
      <c r="A28" s="1" t="s">
        <v>175</v>
      </c>
      <c r="B28" s="3" t="s">
        <v>371</v>
      </c>
      <c r="C28" s="1" t="s">
        <v>399</v>
      </c>
      <c r="D28" s="1" t="s">
        <v>404</v>
      </c>
      <c r="E28" s="1" t="s">
        <v>408</v>
      </c>
      <c r="F28" s="1" t="s">
        <v>410</v>
      </c>
      <c r="G28" s="4">
        <v>1242.4000000000001</v>
      </c>
      <c r="H28" s="5">
        <v>5</v>
      </c>
      <c r="I28" s="6">
        <v>0.1</v>
      </c>
      <c r="J28" s="4">
        <v>237.19</v>
      </c>
      <c r="K28">
        <f>YEAR(B28)</f>
        <v>2022</v>
      </c>
      <c r="L28" t="str">
        <f>TEXT(B28,"mmm")</f>
        <v>Jan</v>
      </c>
      <c r="M28" s="6">
        <f>J28/G28</f>
        <v>0.19091274951706375</v>
      </c>
      <c r="N28" s="8">
        <f t="shared" si="0"/>
        <v>930.55114942528769</v>
      </c>
      <c r="O28" s="8">
        <f t="shared" si="1"/>
        <v>889.75</v>
      </c>
      <c r="P28" s="9">
        <f t="shared" si="2"/>
        <v>547.34131870389672</v>
      </c>
      <c r="Q28">
        <f t="shared" si="3"/>
        <v>299582.51916052063</v>
      </c>
      <c r="R28" s="4">
        <f t="shared" si="4"/>
        <v>1974.28</v>
      </c>
    </row>
    <row r="29" spans="1:18" x14ac:dyDescent="0.3">
      <c r="A29" s="1" t="s">
        <v>190</v>
      </c>
      <c r="B29" s="3" t="s">
        <v>383</v>
      </c>
      <c r="C29" s="1" t="s">
        <v>400</v>
      </c>
      <c r="D29" s="1" t="s">
        <v>402</v>
      </c>
      <c r="E29" s="1" t="s">
        <v>405</v>
      </c>
      <c r="F29" s="1" t="s">
        <v>411</v>
      </c>
      <c r="G29" s="4">
        <v>1759.04</v>
      </c>
      <c r="H29" s="5">
        <v>3</v>
      </c>
      <c r="I29" s="6">
        <v>0</v>
      </c>
      <c r="J29" s="4">
        <v>236.4</v>
      </c>
      <c r="K29">
        <f>YEAR(B29)</f>
        <v>2022</v>
      </c>
      <c r="L29" t="str">
        <f>TEXT(B29,"mmm")</f>
        <v>Jan</v>
      </c>
      <c r="M29" s="6">
        <f>J29/G29</f>
        <v>0.13439148626523559</v>
      </c>
      <c r="N29" s="8">
        <f t="shared" si="0"/>
        <v>928.74855491329515</v>
      </c>
      <c r="O29" s="8">
        <f t="shared" si="1"/>
        <v>888.28</v>
      </c>
      <c r="P29" s="9">
        <f t="shared" si="2"/>
        <v>548.41189309603624</v>
      </c>
      <c r="Q29">
        <f t="shared" si="3"/>
        <v>300755.60448917834</v>
      </c>
      <c r="R29" s="4">
        <f t="shared" si="4"/>
        <v>1974.28</v>
      </c>
    </row>
    <row r="30" spans="1:18" x14ac:dyDescent="0.3">
      <c r="A30" s="1" t="s">
        <v>183</v>
      </c>
      <c r="B30" s="3" t="s">
        <v>276</v>
      </c>
      <c r="C30" s="1" t="s">
        <v>400</v>
      </c>
      <c r="D30" s="1" t="s">
        <v>404</v>
      </c>
      <c r="E30" s="1" t="s">
        <v>408</v>
      </c>
      <c r="F30" s="1" t="s">
        <v>411</v>
      </c>
      <c r="G30" s="4">
        <v>1923.38</v>
      </c>
      <c r="H30" s="5">
        <v>1</v>
      </c>
      <c r="I30" s="6">
        <v>0.1</v>
      </c>
      <c r="J30" s="4">
        <v>235.16</v>
      </c>
      <c r="K30">
        <f>YEAR(B30)</f>
        <v>2023</v>
      </c>
      <c r="L30" t="str">
        <f>TEXT(B30,"mmm")</f>
        <v>Apr</v>
      </c>
      <c r="M30" s="6">
        <f>J30/G30</f>
        <v>0.12226393120444218</v>
      </c>
      <c r="N30" s="8">
        <f t="shared" si="0"/>
        <v>923.92127906976771</v>
      </c>
      <c r="O30" s="8">
        <f t="shared" si="1"/>
        <v>886.88499999999999</v>
      </c>
      <c r="P30" s="9">
        <f t="shared" si="2"/>
        <v>546.31445672685936</v>
      </c>
      <c r="Q30">
        <f t="shared" si="3"/>
        <v>298459.4856287635</v>
      </c>
      <c r="R30" s="4">
        <f t="shared" si="4"/>
        <v>1974.28</v>
      </c>
    </row>
    <row r="31" spans="1:18" x14ac:dyDescent="0.3">
      <c r="A31" s="1" t="s">
        <v>101</v>
      </c>
      <c r="B31" s="3" t="s">
        <v>300</v>
      </c>
      <c r="C31" s="1" t="s">
        <v>399</v>
      </c>
      <c r="D31" s="1" t="s">
        <v>402</v>
      </c>
      <c r="E31" s="1" t="s">
        <v>405</v>
      </c>
      <c r="F31" s="1" t="s">
        <v>410</v>
      </c>
      <c r="G31" s="4">
        <v>1417.33</v>
      </c>
      <c r="H31" s="5">
        <v>1</v>
      </c>
      <c r="I31" s="6">
        <v>0</v>
      </c>
      <c r="J31" s="4">
        <v>227.24</v>
      </c>
      <c r="K31">
        <f>YEAR(B31)</f>
        <v>2021</v>
      </c>
      <c r="L31" t="str">
        <f>TEXT(B31,"mmm")</f>
        <v>Sep</v>
      </c>
      <c r="M31" s="6">
        <f>J31/G31</f>
        <v>0.16032963388907312</v>
      </c>
      <c r="N31" s="8">
        <f t="shared" si="0"/>
        <v>918.07649122807049</v>
      </c>
      <c r="O31" s="8">
        <f t="shared" si="1"/>
        <v>885.49</v>
      </c>
      <c r="P31" s="9">
        <f t="shared" si="2"/>
        <v>542.49864561226809</v>
      </c>
      <c r="Q31">
        <f t="shared" si="3"/>
        <v>294304.78049114521</v>
      </c>
      <c r="R31" s="4">
        <f t="shared" si="4"/>
        <v>1974.28</v>
      </c>
    </row>
    <row r="32" spans="1:18" x14ac:dyDescent="0.3">
      <c r="A32" s="1" t="s">
        <v>143</v>
      </c>
      <c r="B32" s="3" t="s">
        <v>341</v>
      </c>
      <c r="C32" s="1" t="s">
        <v>400</v>
      </c>
      <c r="D32" s="1" t="s">
        <v>402</v>
      </c>
      <c r="E32" s="1" t="s">
        <v>405</v>
      </c>
      <c r="F32" s="1" t="s">
        <v>409</v>
      </c>
      <c r="G32" s="4">
        <v>1818.47</v>
      </c>
      <c r="H32" s="5">
        <v>5</v>
      </c>
      <c r="I32" s="6">
        <v>0.1</v>
      </c>
      <c r="J32" s="4">
        <v>226.2</v>
      </c>
      <c r="K32">
        <f>YEAR(B32)</f>
        <v>2021</v>
      </c>
      <c r="L32" t="str">
        <f>TEXT(B32,"mmm")</f>
        <v>Sep</v>
      </c>
      <c r="M32" s="6">
        <f>J32/G32</f>
        <v>0.12439028413996381</v>
      </c>
      <c r="N32" s="8">
        <f t="shared" si="0"/>
        <v>915.13970588235327</v>
      </c>
      <c r="O32" s="8">
        <f t="shared" si="1"/>
        <v>877.12</v>
      </c>
      <c r="P32" s="9">
        <f t="shared" si="2"/>
        <v>542.73628681356195</v>
      </c>
      <c r="Q32">
        <f t="shared" si="3"/>
        <v>294562.67702417297</v>
      </c>
      <c r="R32" s="4">
        <f t="shared" si="4"/>
        <v>1974.28</v>
      </c>
    </row>
    <row r="33" spans="1:18" x14ac:dyDescent="0.3">
      <c r="A33" s="1" t="s">
        <v>208</v>
      </c>
      <c r="B33" s="3" t="s">
        <v>334</v>
      </c>
      <c r="C33" s="1" t="s">
        <v>398</v>
      </c>
      <c r="D33" s="1" t="s">
        <v>404</v>
      </c>
      <c r="E33" s="1" t="s">
        <v>406</v>
      </c>
      <c r="F33" s="1" t="s">
        <v>410</v>
      </c>
      <c r="G33" s="4">
        <v>1401.78</v>
      </c>
      <c r="H33" s="5">
        <v>10</v>
      </c>
      <c r="I33" s="6">
        <v>0.3</v>
      </c>
      <c r="J33" s="4">
        <v>225.43</v>
      </c>
      <c r="K33">
        <f>YEAR(B33)</f>
        <v>2021</v>
      </c>
      <c r="L33" t="str">
        <f>TEXT(B33,"mmm")</f>
        <v>Sep</v>
      </c>
      <c r="M33" s="6">
        <f>J33/G33</f>
        <v>0.16081696129207151</v>
      </c>
      <c r="N33" s="8">
        <f t="shared" si="0"/>
        <v>909.79455621301793</v>
      </c>
      <c r="O33" s="8">
        <f t="shared" si="1"/>
        <v>868.75</v>
      </c>
      <c r="P33" s="9">
        <f t="shared" si="2"/>
        <v>539.84267087069702</v>
      </c>
      <c r="Q33">
        <f t="shared" si="3"/>
        <v>291430.1092928077</v>
      </c>
      <c r="R33" s="4">
        <f t="shared" si="4"/>
        <v>1974.28</v>
      </c>
    </row>
    <row r="34" spans="1:18" x14ac:dyDescent="0.3">
      <c r="A34" s="1" t="s">
        <v>100</v>
      </c>
      <c r="B34" s="3" t="s">
        <v>299</v>
      </c>
      <c r="C34" s="1" t="s">
        <v>399</v>
      </c>
      <c r="D34" s="1" t="s">
        <v>404</v>
      </c>
      <c r="E34" s="1" t="s">
        <v>407</v>
      </c>
      <c r="F34" s="1" t="s">
        <v>411</v>
      </c>
      <c r="G34" s="4">
        <v>1219.52</v>
      </c>
      <c r="H34" s="5">
        <v>9</v>
      </c>
      <c r="I34" s="6">
        <v>0.1</v>
      </c>
      <c r="J34" s="4">
        <v>219.94</v>
      </c>
      <c r="K34">
        <f>YEAR(B34)</f>
        <v>2021</v>
      </c>
      <c r="L34" t="str">
        <f>TEXT(B34,"mmm")</f>
        <v>Feb</v>
      </c>
      <c r="M34" s="6">
        <f>J34/G34</f>
        <v>0.18034964576226711</v>
      </c>
      <c r="N34" s="8">
        <f t="shared" si="0"/>
        <v>906.86607142857156</v>
      </c>
      <c r="O34" s="8">
        <f t="shared" si="1"/>
        <v>863.58500000000004</v>
      </c>
      <c r="P34" s="9">
        <f t="shared" si="2"/>
        <v>540.10848274044599</v>
      </c>
      <c r="Q34">
        <f t="shared" si="3"/>
        <v>291717.17312818661</v>
      </c>
      <c r="R34" s="4">
        <f t="shared" si="4"/>
        <v>1974.28</v>
      </c>
    </row>
    <row r="35" spans="1:18" x14ac:dyDescent="0.3">
      <c r="A35" s="1" t="s">
        <v>149</v>
      </c>
      <c r="B35" s="3" t="s">
        <v>347</v>
      </c>
      <c r="C35" s="1" t="s">
        <v>400</v>
      </c>
      <c r="D35" s="1" t="s">
        <v>404</v>
      </c>
      <c r="E35" s="1" t="s">
        <v>407</v>
      </c>
      <c r="F35" s="1" t="s">
        <v>409</v>
      </c>
      <c r="G35" s="4">
        <v>935.86</v>
      </c>
      <c r="H35" s="5">
        <v>3</v>
      </c>
      <c r="I35" s="6">
        <v>0.1</v>
      </c>
      <c r="J35" s="4">
        <v>211.81</v>
      </c>
      <c r="K35">
        <f>YEAR(B35)</f>
        <v>2020</v>
      </c>
      <c r="L35" t="str">
        <f>TEXT(B35,"mmm")</f>
        <v>May</v>
      </c>
      <c r="M35" s="6">
        <f>J35/G35</f>
        <v>0.22632658731006774</v>
      </c>
      <c r="N35" s="8">
        <f t="shared" si="0"/>
        <v>904.99389221556908</v>
      </c>
      <c r="O35" s="8">
        <f t="shared" si="1"/>
        <v>858.42</v>
      </c>
      <c r="P35" s="9">
        <f t="shared" si="2"/>
        <v>541.18583589272146</v>
      </c>
      <c r="Q35">
        <f t="shared" si="3"/>
        <v>292882.10897090368</v>
      </c>
      <c r="R35" s="4">
        <f t="shared" si="4"/>
        <v>1974.28</v>
      </c>
    </row>
    <row r="36" spans="1:18" x14ac:dyDescent="0.3">
      <c r="A36" s="1" t="s">
        <v>170</v>
      </c>
      <c r="B36" s="3" t="s">
        <v>366</v>
      </c>
      <c r="C36" s="1" t="s">
        <v>398</v>
      </c>
      <c r="D36" s="1" t="s">
        <v>404</v>
      </c>
      <c r="E36" s="1" t="s">
        <v>406</v>
      </c>
      <c r="F36" s="1" t="s">
        <v>409</v>
      </c>
      <c r="G36" s="4">
        <v>1548.19</v>
      </c>
      <c r="H36" s="5">
        <v>8</v>
      </c>
      <c r="I36" s="6">
        <v>0.2</v>
      </c>
      <c r="J36" s="4">
        <v>194.97</v>
      </c>
      <c r="K36">
        <f>YEAR(B36)</f>
        <v>2022</v>
      </c>
      <c r="L36" t="str">
        <f>TEXT(B36,"mmm")</f>
        <v>Jul</v>
      </c>
      <c r="M36" s="6">
        <f>J36/G36</f>
        <v>0.12593415536852712</v>
      </c>
      <c r="N36" s="8">
        <f t="shared" si="0"/>
        <v>904.80795180722907</v>
      </c>
      <c r="O36" s="8">
        <f t="shared" si="1"/>
        <v>845.41499999999996</v>
      </c>
      <c r="P36" s="9">
        <f t="shared" si="2"/>
        <v>542.81796509708749</v>
      </c>
      <c r="Q36">
        <f t="shared" si="3"/>
        <v>294651.34323214291</v>
      </c>
      <c r="R36" s="4">
        <f t="shared" si="4"/>
        <v>1974.28</v>
      </c>
    </row>
    <row r="37" spans="1:18" x14ac:dyDescent="0.3">
      <c r="A37" s="1" t="s">
        <v>182</v>
      </c>
      <c r="B37" s="3" t="s">
        <v>376</v>
      </c>
      <c r="C37" s="1" t="s">
        <v>400</v>
      </c>
      <c r="D37" s="1" t="s">
        <v>403</v>
      </c>
      <c r="E37" s="1" t="s">
        <v>407</v>
      </c>
      <c r="F37" s="1" t="s">
        <v>411</v>
      </c>
      <c r="G37" s="4">
        <v>1945.2</v>
      </c>
      <c r="H37" s="5">
        <v>5</v>
      </c>
      <c r="I37" s="6">
        <v>0.3</v>
      </c>
      <c r="J37" s="4">
        <v>193.81</v>
      </c>
      <c r="K37">
        <f>YEAR(B37)</f>
        <v>2023</v>
      </c>
      <c r="L37" t="str">
        <f>TEXT(B37,"mmm")</f>
        <v>Jan</v>
      </c>
      <c r="M37" s="6">
        <f>J37/G37</f>
        <v>9.9634998971828093E-2</v>
      </c>
      <c r="N37" s="8">
        <f t="shared" si="0"/>
        <v>900.90866666666659</v>
      </c>
      <c r="O37" s="8">
        <f t="shared" si="1"/>
        <v>832.41</v>
      </c>
      <c r="P37" s="9">
        <f t="shared" si="2"/>
        <v>542.133446150297</v>
      </c>
      <c r="Q37">
        <f t="shared" si="3"/>
        <v>293908.67343479698</v>
      </c>
      <c r="R37" s="4">
        <f t="shared" si="4"/>
        <v>1974.28</v>
      </c>
    </row>
    <row r="38" spans="1:18" x14ac:dyDescent="0.3">
      <c r="A38" s="1" t="s">
        <v>21</v>
      </c>
      <c r="B38" s="3" t="s">
        <v>221</v>
      </c>
      <c r="C38" s="1" t="s">
        <v>401</v>
      </c>
      <c r="D38" s="1" t="s">
        <v>402</v>
      </c>
      <c r="E38" s="1" t="s">
        <v>406</v>
      </c>
      <c r="F38" s="1" t="s">
        <v>411</v>
      </c>
      <c r="G38" s="4">
        <v>1937.43</v>
      </c>
      <c r="H38" s="5">
        <v>3</v>
      </c>
      <c r="I38" s="6">
        <v>0.3</v>
      </c>
      <c r="J38" s="4">
        <v>191.83</v>
      </c>
      <c r="K38">
        <f>YEAR(B38)</f>
        <v>2022</v>
      </c>
      <c r="L38" t="str">
        <f>TEXT(B38,"mmm")</f>
        <v>Dec</v>
      </c>
      <c r="M38" s="6">
        <f>J38/G38</f>
        <v>9.9012609487826655E-2</v>
      </c>
      <c r="N38" s="8">
        <f t="shared" si="0"/>
        <v>894.54103658536587</v>
      </c>
      <c r="O38" s="8">
        <f t="shared" si="1"/>
        <v>830.66</v>
      </c>
      <c r="P38" s="9">
        <f t="shared" si="2"/>
        <v>537.56910466614158</v>
      </c>
      <c r="Q38">
        <f t="shared" si="3"/>
        <v>288980.54229155707</v>
      </c>
      <c r="R38" s="4">
        <f t="shared" si="4"/>
        <v>1974.28</v>
      </c>
    </row>
    <row r="39" spans="1:18" x14ac:dyDescent="0.3">
      <c r="A39" s="1" t="s">
        <v>152</v>
      </c>
      <c r="B39" s="3" t="s">
        <v>349</v>
      </c>
      <c r="C39" s="1" t="s">
        <v>399</v>
      </c>
      <c r="D39" s="1" t="s">
        <v>404</v>
      </c>
      <c r="E39" s="1" t="s">
        <v>408</v>
      </c>
      <c r="F39" s="1" t="s">
        <v>411</v>
      </c>
      <c r="G39" s="4">
        <v>1249.49</v>
      </c>
      <c r="H39" s="5">
        <v>1</v>
      </c>
      <c r="I39" s="6">
        <v>0.3</v>
      </c>
      <c r="J39" s="4">
        <v>177.29</v>
      </c>
      <c r="K39">
        <f>YEAR(B39)</f>
        <v>2021</v>
      </c>
      <c r="L39" t="str">
        <f>TEXT(B39,"mmm")</f>
        <v>Mar</v>
      </c>
      <c r="M39" s="6">
        <f>J39/G39</f>
        <v>0.14188989107555883</v>
      </c>
      <c r="N39" s="8">
        <f t="shared" si="0"/>
        <v>888.1429447852762</v>
      </c>
      <c r="O39" s="8">
        <f t="shared" si="1"/>
        <v>828.91</v>
      </c>
      <c r="P39" s="9">
        <f t="shared" si="2"/>
        <v>532.92541404911742</v>
      </c>
      <c r="Q39">
        <f t="shared" si="3"/>
        <v>284009.4969394232</v>
      </c>
      <c r="R39" s="4">
        <f t="shared" si="4"/>
        <v>1974.28</v>
      </c>
    </row>
    <row r="40" spans="1:18" x14ac:dyDescent="0.3">
      <c r="A40" s="1" t="s">
        <v>185</v>
      </c>
      <c r="B40" s="3" t="s">
        <v>378</v>
      </c>
      <c r="C40" s="1" t="s">
        <v>400</v>
      </c>
      <c r="D40" s="1" t="s">
        <v>403</v>
      </c>
      <c r="E40" s="1" t="s">
        <v>407</v>
      </c>
      <c r="F40" s="1" t="s">
        <v>410</v>
      </c>
      <c r="G40" s="4">
        <v>1120.8399999999999</v>
      </c>
      <c r="H40" s="5">
        <v>7</v>
      </c>
      <c r="I40" s="6">
        <v>0.2</v>
      </c>
      <c r="J40" s="4">
        <v>175.67</v>
      </c>
      <c r="K40">
        <f>YEAR(B40)</f>
        <v>2022</v>
      </c>
      <c r="L40" t="str">
        <f>TEXT(B40,"mmm")</f>
        <v>Nov</v>
      </c>
      <c r="M40" s="6">
        <f>J40/G40</f>
        <v>0.1567306662859998</v>
      </c>
      <c r="N40" s="8">
        <f t="shared" si="0"/>
        <v>885.91240740740761</v>
      </c>
      <c r="O40" s="8">
        <f t="shared" si="1"/>
        <v>825.17499999999995</v>
      </c>
      <c r="P40" s="9">
        <f t="shared" si="2"/>
        <v>533.81412548746312</v>
      </c>
      <c r="Q40">
        <f t="shared" si="3"/>
        <v>284957.52056994499</v>
      </c>
      <c r="R40" s="4">
        <f t="shared" si="4"/>
        <v>1974.28</v>
      </c>
    </row>
    <row r="41" spans="1:18" x14ac:dyDescent="0.3">
      <c r="A41" s="1" t="s">
        <v>144</v>
      </c>
      <c r="B41" s="3" t="s">
        <v>342</v>
      </c>
      <c r="C41" s="1" t="s">
        <v>399</v>
      </c>
      <c r="D41" s="1" t="s">
        <v>403</v>
      </c>
      <c r="E41" s="1" t="s">
        <v>408</v>
      </c>
      <c r="F41" s="1" t="s">
        <v>409</v>
      </c>
      <c r="G41" s="4">
        <v>1753.11</v>
      </c>
      <c r="H41" s="5">
        <v>3</v>
      </c>
      <c r="I41" s="6">
        <v>0.2</v>
      </c>
      <c r="J41" s="4">
        <v>171.98</v>
      </c>
      <c r="K41">
        <f>YEAR(B41)</f>
        <v>2020</v>
      </c>
      <c r="L41" t="str">
        <f>TEXT(B41,"mmm")</f>
        <v>May</v>
      </c>
      <c r="M41" s="6">
        <f>J41/G41</f>
        <v>9.8099948092247494E-2</v>
      </c>
      <c r="N41" s="8">
        <f t="shared" si="0"/>
        <v>884.45322981366473</v>
      </c>
      <c r="O41" s="8">
        <f t="shared" si="1"/>
        <v>821.44</v>
      </c>
      <c r="P41" s="9">
        <f t="shared" si="2"/>
        <v>535.15550915668723</v>
      </c>
      <c r="Q41">
        <f t="shared" si="3"/>
        <v>286391.41898075317</v>
      </c>
      <c r="R41" s="4">
        <f t="shared" si="4"/>
        <v>1974.28</v>
      </c>
    </row>
    <row r="42" spans="1:18" x14ac:dyDescent="0.3">
      <c r="A42" s="1" t="s">
        <v>205</v>
      </c>
      <c r="B42" s="3" t="s">
        <v>395</v>
      </c>
      <c r="C42" s="1" t="s">
        <v>401</v>
      </c>
      <c r="D42" s="1" t="s">
        <v>404</v>
      </c>
      <c r="E42" s="1" t="s">
        <v>407</v>
      </c>
      <c r="F42" s="1" t="s">
        <v>409</v>
      </c>
      <c r="G42" s="4">
        <v>679.98</v>
      </c>
      <c r="H42" s="5">
        <v>6</v>
      </c>
      <c r="I42" s="6">
        <v>0.3</v>
      </c>
      <c r="J42" s="4">
        <v>169.67</v>
      </c>
      <c r="K42">
        <f>YEAR(B42)</f>
        <v>2023</v>
      </c>
      <c r="L42" t="str">
        <f>TEXT(B42,"mmm")</f>
        <v>Oct</v>
      </c>
      <c r="M42" s="6">
        <f>J42/G42</f>
        <v>0.24952204476602249</v>
      </c>
      <c r="N42" s="8">
        <f t="shared" si="0"/>
        <v>879.02412500000025</v>
      </c>
      <c r="O42" s="8">
        <f t="shared" si="1"/>
        <v>821.43000000000006</v>
      </c>
      <c r="P42" s="9">
        <f t="shared" si="2"/>
        <v>532.36948927051378</v>
      </c>
      <c r="Q42">
        <f t="shared" si="3"/>
        <v>283417.27310614765</v>
      </c>
      <c r="R42" s="4">
        <f t="shared" si="4"/>
        <v>1974.28</v>
      </c>
    </row>
    <row r="43" spans="1:18" x14ac:dyDescent="0.3">
      <c r="A43" s="1" t="s">
        <v>153</v>
      </c>
      <c r="B43" s="3" t="s">
        <v>350</v>
      </c>
      <c r="C43" s="1" t="s">
        <v>400</v>
      </c>
      <c r="D43" s="1" t="s">
        <v>404</v>
      </c>
      <c r="E43" s="1" t="s">
        <v>406</v>
      </c>
      <c r="F43" s="1" t="s">
        <v>410</v>
      </c>
      <c r="G43" s="4">
        <v>1804.62</v>
      </c>
      <c r="H43" s="5">
        <v>10</v>
      </c>
      <c r="I43" s="6">
        <v>0.3</v>
      </c>
      <c r="J43" s="4">
        <v>166.12</v>
      </c>
      <c r="K43">
        <f>YEAR(B43)</f>
        <v>2022</v>
      </c>
      <c r="L43" t="str">
        <f>TEXT(B43,"mmm")</f>
        <v>Aug</v>
      </c>
      <c r="M43" s="6">
        <f>J43/G43</f>
        <v>9.2052620496281767E-2</v>
      </c>
      <c r="N43" s="8">
        <f t="shared" si="0"/>
        <v>880.27597484276748</v>
      </c>
      <c r="O43" s="8">
        <f t="shared" si="1"/>
        <v>821.44</v>
      </c>
      <c r="P43" s="9">
        <f t="shared" si="2"/>
        <v>533.81525443356713</v>
      </c>
      <c r="Q43">
        <f t="shared" si="3"/>
        <v>284958.72586597397</v>
      </c>
      <c r="R43" s="4">
        <f t="shared" si="4"/>
        <v>1974.28</v>
      </c>
    </row>
    <row r="44" spans="1:18" x14ac:dyDescent="0.3">
      <c r="A44" s="1" t="s">
        <v>55</v>
      </c>
      <c r="B44" s="3" t="s">
        <v>255</v>
      </c>
      <c r="C44" s="1" t="s">
        <v>399</v>
      </c>
      <c r="D44" s="1" t="s">
        <v>402</v>
      </c>
      <c r="E44" s="1" t="s">
        <v>408</v>
      </c>
      <c r="F44" s="1" t="s">
        <v>409</v>
      </c>
      <c r="G44" s="4">
        <v>1905.08</v>
      </c>
      <c r="H44" s="5">
        <v>8</v>
      </c>
      <c r="I44" s="6">
        <v>0.1</v>
      </c>
      <c r="J44" s="4">
        <v>163.69</v>
      </c>
      <c r="K44">
        <f>YEAR(B44)</f>
        <v>2023</v>
      </c>
      <c r="L44" t="str">
        <f>TEXT(B44,"mmm")</f>
        <v>Sep</v>
      </c>
      <c r="M44" s="6">
        <f>J44/G44</f>
        <v>8.5922900875553779E-2</v>
      </c>
      <c r="N44" s="8">
        <f t="shared" si="0"/>
        <v>874.42569620253187</v>
      </c>
      <c r="O44" s="8">
        <f t="shared" si="1"/>
        <v>821.43000000000006</v>
      </c>
      <c r="P44" s="9">
        <f t="shared" si="2"/>
        <v>530.37457704316466</v>
      </c>
      <c r="Q44">
        <f t="shared" si="3"/>
        <v>281297.19197371585</v>
      </c>
      <c r="R44" s="4">
        <f t="shared" si="4"/>
        <v>1974.28</v>
      </c>
    </row>
    <row r="45" spans="1:18" x14ac:dyDescent="0.3">
      <c r="A45" s="1" t="s">
        <v>17</v>
      </c>
      <c r="B45" s="3" t="s">
        <v>217</v>
      </c>
      <c r="C45" s="1" t="s">
        <v>399</v>
      </c>
      <c r="D45" s="1" t="s">
        <v>404</v>
      </c>
      <c r="E45" s="1" t="s">
        <v>405</v>
      </c>
      <c r="F45" s="1" t="s">
        <v>411</v>
      </c>
      <c r="G45" s="4">
        <v>1101.18</v>
      </c>
      <c r="H45" s="5">
        <v>7</v>
      </c>
      <c r="I45" s="6">
        <v>0.1</v>
      </c>
      <c r="J45" s="4">
        <v>157.59</v>
      </c>
      <c r="K45">
        <f>YEAR(B45)</f>
        <v>2023</v>
      </c>
      <c r="L45" t="str">
        <f>TEXT(B45,"mmm")</f>
        <v>Mar</v>
      </c>
      <c r="M45" s="6">
        <f>J45/G45</f>
        <v>0.1431101182368005</v>
      </c>
      <c r="N45" s="8">
        <f t="shared" si="0"/>
        <v>867.8610191082804</v>
      </c>
      <c r="O45" s="8">
        <f t="shared" si="1"/>
        <v>821.42</v>
      </c>
      <c r="P45" s="9">
        <f t="shared" si="2"/>
        <v>525.59273580502077</v>
      </c>
      <c r="Q45">
        <f t="shared" si="3"/>
        <v>276247.72393100633</v>
      </c>
      <c r="R45" s="4">
        <f t="shared" si="4"/>
        <v>1974.28</v>
      </c>
    </row>
    <row r="46" spans="1:18" x14ac:dyDescent="0.3">
      <c r="A46" s="1" t="s">
        <v>132</v>
      </c>
      <c r="B46" s="3" t="s">
        <v>330</v>
      </c>
      <c r="C46" s="1" t="s">
        <v>400</v>
      </c>
      <c r="D46" s="1" t="s">
        <v>404</v>
      </c>
      <c r="E46" s="1" t="s">
        <v>408</v>
      </c>
      <c r="F46" s="1" t="s">
        <v>410</v>
      </c>
      <c r="G46" s="4">
        <v>1267.76</v>
      </c>
      <c r="H46" s="5">
        <v>5</v>
      </c>
      <c r="I46" s="6">
        <v>0.2</v>
      </c>
      <c r="J46" s="4">
        <v>154.83000000000001</v>
      </c>
      <c r="K46">
        <f>YEAR(B46)</f>
        <v>2021</v>
      </c>
      <c r="L46" t="str">
        <f>TEXT(B46,"mmm")</f>
        <v>Jun</v>
      </c>
      <c r="M46" s="6">
        <f>J46/G46</f>
        <v>0.12212879409351929</v>
      </c>
      <c r="N46" s="8">
        <f t="shared" si="0"/>
        <v>866.36538461538476</v>
      </c>
      <c r="O46" s="8">
        <f t="shared" si="1"/>
        <v>817.18000000000006</v>
      </c>
      <c r="P46" s="9">
        <f t="shared" si="2"/>
        <v>526.95019184639068</v>
      </c>
      <c r="Q46">
        <f t="shared" si="3"/>
        <v>277676.50468694797</v>
      </c>
      <c r="R46" s="4">
        <f t="shared" si="4"/>
        <v>1974.28</v>
      </c>
    </row>
    <row r="47" spans="1:18" x14ac:dyDescent="0.3">
      <c r="A47" s="1" t="s">
        <v>186</v>
      </c>
      <c r="B47" s="3" t="s">
        <v>379</v>
      </c>
      <c r="C47" s="1" t="s">
        <v>398</v>
      </c>
      <c r="D47" s="1" t="s">
        <v>403</v>
      </c>
      <c r="E47" s="1" t="s">
        <v>406</v>
      </c>
      <c r="F47" s="1" t="s">
        <v>410</v>
      </c>
      <c r="G47" s="4">
        <v>633.07000000000005</v>
      </c>
      <c r="H47" s="5">
        <v>7</v>
      </c>
      <c r="I47" s="6">
        <v>0</v>
      </c>
      <c r="J47" s="4">
        <v>149.58000000000001</v>
      </c>
      <c r="K47">
        <f>YEAR(B47)</f>
        <v>2021</v>
      </c>
      <c r="L47" t="str">
        <f>TEXT(B47,"mmm")</f>
        <v>Oct</v>
      </c>
      <c r="M47" s="6">
        <f>J47/G47</f>
        <v>0.23627718893645253</v>
      </c>
      <c r="N47" s="8">
        <f t="shared" si="0"/>
        <v>863.77574193548435</v>
      </c>
      <c r="O47" s="8">
        <f t="shared" si="1"/>
        <v>812.94</v>
      </c>
      <c r="P47" s="9">
        <f t="shared" si="2"/>
        <v>527.66147353504914</v>
      </c>
      <c r="Q47">
        <f t="shared" si="3"/>
        <v>278426.63065317931</v>
      </c>
      <c r="R47" s="4">
        <f t="shared" si="4"/>
        <v>1974.28</v>
      </c>
    </row>
    <row r="48" spans="1:18" x14ac:dyDescent="0.3">
      <c r="A48" s="1" t="s">
        <v>172</v>
      </c>
      <c r="B48" s="3" t="s">
        <v>368</v>
      </c>
      <c r="C48" s="1" t="s">
        <v>400</v>
      </c>
      <c r="D48" s="1" t="s">
        <v>403</v>
      </c>
      <c r="E48" s="1" t="s">
        <v>405</v>
      </c>
      <c r="F48" s="1" t="s">
        <v>410</v>
      </c>
      <c r="G48" s="4">
        <v>1107.71</v>
      </c>
      <c r="H48" s="5">
        <v>1</v>
      </c>
      <c r="I48" s="6">
        <v>0</v>
      </c>
      <c r="J48" s="4">
        <v>147.18</v>
      </c>
      <c r="K48">
        <f>YEAR(B48)</f>
        <v>2020</v>
      </c>
      <c r="L48" t="str">
        <f>TEXT(B48,"mmm")</f>
        <v>Jul</v>
      </c>
      <c r="M48" s="6">
        <f>J48/G48</f>
        <v>0.13286871112475288</v>
      </c>
      <c r="N48" s="8">
        <f t="shared" si="0"/>
        <v>865.27383116883163</v>
      </c>
      <c r="O48" s="8">
        <f t="shared" si="1"/>
        <v>817.18000000000006</v>
      </c>
      <c r="P48" s="9">
        <f t="shared" si="2"/>
        <v>529.05224400358202</v>
      </c>
      <c r="Q48">
        <f t="shared" si="3"/>
        <v>279896.27688522567</v>
      </c>
      <c r="R48" s="4">
        <f t="shared" si="4"/>
        <v>1974.28</v>
      </c>
    </row>
    <row r="49" spans="1:18" x14ac:dyDescent="0.3">
      <c r="A49" s="1" t="s">
        <v>154</v>
      </c>
      <c r="B49" s="3" t="s">
        <v>351</v>
      </c>
      <c r="C49" s="1" t="s">
        <v>400</v>
      </c>
      <c r="D49" s="1" t="s">
        <v>402</v>
      </c>
      <c r="E49" s="1" t="s">
        <v>408</v>
      </c>
      <c r="F49" s="1" t="s">
        <v>411</v>
      </c>
      <c r="G49" s="4">
        <v>868.75</v>
      </c>
      <c r="H49" s="5">
        <v>6</v>
      </c>
      <c r="I49" s="6">
        <v>0.2</v>
      </c>
      <c r="J49" s="4">
        <v>144.86000000000001</v>
      </c>
      <c r="K49">
        <f>YEAR(B49)</f>
        <v>2020</v>
      </c>
      <c r="L49" t="str">
        <f>TEXT(B49,"mmm")</f>
        <v>May</v>
      </c>
      <c r="M49" s="6">
        <f>J49/G49</f>
        <v>0.1667453237410072</v>
      </c>
      <c r="N49" s="8">
        <f t="shared" si="0"/>
        <v>863.68928104575195</v>
      </c>
      <c r="O49" s="8">
        <f t="shared" si="1"/>
        <v>812.94</v>
      </c>
      <c r="P49" s="9">
        <f t="shared" si="2"/>
        <v>530.42293772356345</v>
      </c>
      <c r="Q49">
        <f t="shared" si="3"/>
        <v>281348.49286329531</v>
      </c>
      <c r="R49" s="4">
        <f t="shared" si="4"/>
        <v>1974.28</v>
      </c>
    </row>
    <row r="50" spans="1:18" x14ac:dyDescent="0.3">
      <c r="A50" s="1" t="s">
        <v>193</v>
      </c>
      <c r="B50" s="3" t="s">
        <v>352</v>
      </c>
      <c r="C50" s="1" t="s">
        <v>401</v>
      </c>
      <c r="D50" s="1" t="s">
        <v>404</v>
      </c>
      <c r="E50" s="1" t="s">
        <v>408</v>
      </c>
      <c r="F50" s="1" t="s">
        <v>410</v>
      </c>
      <c r="G50" s="4">
        <v>1842.37</v>
      </c>
      <c r="H50" s="5">
        <v>7</v>
      </c>
      <c r="I50" s="6">
        <v>0.1</v>
      </c>
      <c r="J50" s="4">
        <v>142.68</v>
      </c>
      <c r="K50">
        <f>YEAR(B50)</f>
        <v>2022</v>
      </c>
      <c r="L50" t="str">
        <f>TEXT(B50,"mmm")</f>
        <v>Jul</v>
      </c>
      <c r="M50" s="6">
        <f>J50/G50</f>
        <v>7.7443727372894705E-2</v>
      </c>
      <c r="N50" s="8">
        <f t="shared" si="0"/>
        <v>863.65598684210556</v>
      </c>
      <c r="O50" s="8">
        <f t="shared" si="1"/>
        <v>800.94500000000005</v>
      </c>
      <c r="P50" s="9">
        <f t="shared" si="2"/>
        <v>532.17624636117728</v>
      </c>
      <c r="Q50">
        <f t="shared" si="3"/>
        <v>283211.5571910725</v>
      </c>
      <c r="R50" s="4">
        <f t="shared" si="4"/>
        <v>1974.28</v>
      </c>
    </row>
    <row r="51" spans="1:18" x14ac:dyDescent="0.3">
      <c r="A51" s="1" t="s">
        <v>30</v>
      </c>
      <c r="B51" s="3" t="s">
        <v>230</v>
      </c>
      <c r="C51" s="1" t="s">
        <v>399</v>
      </c>
      <c r="D51" s="1" t="s">
        <v>403</v>
      </c>
      <c r="E51" s="1" t="s">
        <v>407</v>
      </c>
      <c r="F51" s="1" t="s">
        <v>409</v>
      </c>
      <c r="G51" s="4">
        <v>1367.33</v>
      </c>
      <c r="H51" s="5">
        <v>5</v>
      </c>
      <c r="I51" s="6">
        <v>0.3</v>
      </c>
      <c r="J51" s="4">
        <v>140.36000000000001</v>
      </c>
      <c r="K51">
        <f>YEAR(B51)</f>
        <v>2020</v>
      </c>
      <c r="L51" t="str">
        <f>TEXT(B51,"mmm")</f>
        <v>Sep</v>
      </c>
      <c r="M51" s="6">
        <f>J51/G51</f>
        <v>0.10265261495030463</v>
      </c>
      <c r="N51" s="8">
        <f t="shared" si="0"/>
        <v>857.17443708609312</v>
      </c>
      <c r="O51" s="8">
        <f t="shared" si="1"/>
        <v>788.95</v>
      </c>
      <c r="P51" s="9">
        <f t="shared" si="2"/>
        <v>527.89342631966349</v>
      </c>
      <c r="Q51">
        <f t="shared" si="3"/>
        <v>278671.46955151396</v>
      </c>
      <c r="R51" s="4">
        <f t="shared" si="4"/>
        <v>1974.28</v>
      </c>
    </row>
    <row r="52" spans="1:18" x14ac:dyDescent="0.3">
      <c r="A52" s="1" t="s">
        <v>140</v>
      </c>
      <c r="B52" s="3" t="s">
        <v>338</v>
      </c>
      <c r="C52" s="1" t="s">
        <v>399</v>
      </c>
      <c r="D52" s="1" t="s">
        <v>404</v>
      </c>
      <c r="E52" s="1" t="s">
        <v>406</v>
      </c>
      <c r="F52" s="1" t="s">
        <v>411</v>
      </c>
      <c r="G52" s="4">
        <v>597.26</v>
      </c>
      <c r="H52" s="5">
        <v>7</v>
      </c>
      <c r="I52" s="6">
        <v>0</v>
      </c>
      <c r="J52" s="4">
        <v>139.82</v>
      </c>
      <c r="K52">
        <f>YEAR(B52)</f>
        <v>2020</v>
      </c>
      <c r="L52" t="str">
        <f>TEXT(B52,"mmm")</f>
        <v>Oct</v>
      </c>
      <c r="M52" s="6">
        <f>J52/G52</f>
        <v>0.2341024009644041</v>
      </c>
      <c r="N52" s="8">
        <f t="shared" si="0"/>
        <v>853.77340000000038</v>
      </c>
      <c r="O52" s="8">
        <f t="shared" si="1"/>
        <v>786.5</v>
      </c>
      <c r="P52" s="9">
        <f t="shared" si="2"/>
        <v>527.99943230322037</v>
      </c>
      <c r="Q52">
        <f t="shared" si="3"/>
        <v>278783.40051252302</v>
      </c>
      <c r="R52" s="4">
        <f t="shared" si="4"/>
        <v>1974.28</v>
      </c>
    </row>
    <row r="53" spans="1:18" x14ac:dyDescent="0.3">
      <c r="A53" s="1" t="s">
        <v>64</v>
      </c>
      <c r="B53" s="3" t="s">
        <v>264</v>
      </c>
      <c r="C53" s="1" t="s">
        <v>400</v>
      </c>
      <c r="D53" s="1" t="s">
        <v>404</v>
      </c>
      <c r="E53" s="1" t="s">
        <v>407</v>
      </c>
      <c r="F53" s="1" t="s">
        <v>410</v>
      </c>
      <c r="G53" s="4">
        <v>1183.98</v>
      </c>
      <c r="H53" s="5">
        <v>7</v>
      </c>
      <c r="I53" s="6">
        <v>0.3</v>
      </c>
      <c r="J53" s="4">
        <v>135.41999999999999</v>
      </c>
      <c r="K53">
        <f>YEAR(B53)</f>
        <v>2021</v>
      </c>
      <c r="L53" t="str">
        <f>TEXT(B53,"mmm")</f>
        <v>May</v>
      </c>
      <c r="M53" s="6">
        <f>J53/G53</f>
        <v>0.11437693204277098</v>
      </c>
      <c r="N53" s="8">
        <f t="shared" si="0"/>
        <v>855.49496644295346</v>
      </c>
      <c r="O53" s="8">
        <f t="shared" si="1"/>
        <v>788.95</v>
      </c>
      <c r="P53" s="9">
        <f t="shared" si="2"/>
        <v>529.35762924768994</v>
      </c>
      <c r="Q53">
        <f t="shared" si="3"/>
        <v>280219.49964273477</v>
      </c>
      <c r="R53" s="4">
        <f t="shared" si="4"/>
        <v>1974.28</v>
      </c>
    </row>
    <row r="54" spans="1:18" x14ac:dyDescent="0.3">
      <c r="A54" s="1" t="s">
        <v>198</v>
      </c>
      <c r="B54" s="3" t="s">
        <v>389</v>
      </c>
      <c r="C54" s="1" t="s">
        <v>398</v>
      </c>
      <c r="D54" s="1" t="s">
        <v>403</v>
      </c>
      <c r="E54" s="1" t="s">
        <v>408</v>
      </c>
      <c r="F54" s="1" t="s">
        <v>410</v>
      </c>
      <c r="G54" s="4">
        <v>747.6</v>
      </c>
      <c r="H54" s="5">
        <v>5</v>
      </c>
      <c r="I54" s="6">
        <v>0.3</v>
      </c>
      <c r="J54" s="4">
        <v>132.01</v>
      </c>
      <c r="K54">
        <f>YEAR(B54)</f>
        <v>2022</v>
      </c>
      <c r="L54" t="str">
        <f>TEXT(B54,"mmm")</f>
        <v>Feb</v>
      </c>
      <c r="M54" s="6">
        <f>J54/G54</f>
        <v>0.17657838416265381</v>
      </c>
      <c r="N54" s="8">
        <f t="shared" si="0"/>
        <v>853.27547297297326</v>
      </c>
      <c r="O54" s="8">
        <f t="shared" si="1"/>
        <v>786.5</v>
      </c>
      <c r="P54" s="9">
        <f t="shared" si="2"/>
        <v>530.45901352544354</v>
      </c>
      <c r="Q54">
        <f t="shared" si="3"/>
        <v>281386.76503038668</v>
      </c>
      <c r="R54" s="4">
        <f t="shared" si="4"/>
        <v>1974.28</v>
      </c>
    </row>
    <row r="55" spans="1:18" x14ac:dyDescent="0.3">
      <c r="A55" s="1" t="s">
        <v>102</v>
      </c>
      <c r="B55" s="3" t="s">
        <v>301</v>
      </c>
      <c r="C55" s="1" t="s">
        <v>401</v>
      </c>
      <c r="D55" s="1" t="s">
        <v>402</v>
      </c>
      <c r="E55" s="1" t="s">
        <v>408</v>
      </c>
      <c r="F55" s="1" t="s">
        <v>410</v>
      </c>
      <c r="G55" s="4">
        <v>894.61</v>
      </c>
      <c r="H55" s="5">
        <v>5</v>
      </c>
      <c r="I55" s="6">
        <v>0.3</v>
      </c>
      <c r="J55" s="4">
        <v>127.85</v>
      </c>
      <c r="K55">
        <f>YEAR(B55)</f>
        <v>2020</v>
      </c>
      <c r="L55" t="str">
        <f>TEXT(B55,"mmm")</f>
        <v>Aug</v>
      </c>
      <c r="M55" s="6">
        <f>J55/G55</f>
        <v>0.14291143626831804</v>
      </c>
      <c r="N55" s="8">
        <f t="shared" si="0"/>
        <v>853.99435374149698</v>
      </c>
      <c r="O55" s="8">
        <f t="shared" si="1"/>
        <v>788.95</v>
      </c>
      <c r="P55" s="9">
        <f t="shared" si="2"/>
        <v>532.20020942924396</v>
      </c>
      <c r="Q55">
        <f t="shared" si="3"/>
        <v>283237.06291653111</v>
      </c>
      <c r="R55" s="4">
        <f t="shared" si="4"/>
        <v>1974.28</v>
      </c>
    </row>
    <row r="56" spans="1:18" x14ac:dyDescent="0.3">
      <c r="A56" s="1" t="s">
        <v>54</v>
      </c>
      <c r="B56" s="3" t="s">
        <v>254</v>
      </c>
      <c r="C56" s="1" t="s">
        <v>400</v>
      </c>
      <c r="D56" s="1" t="s">
        <v>404</v>
      </c>
      <c r="E56" s="1" t="s">
        <v>407</v>
      </c>
      <c r="F56" s="1" t="s">
        <v>409</v>
      </c>
      <c r="G56" s="4">
        <v>1724.43</v>
      </c>
      <c r="H56" s="5">
        <v>9</v>
      </c>
      <c r="I56" s="6">
        <v>0</v>
      </c>
      <c r="J56" s="4">
        <v>127.72</v>
      </c>
      <c r="K56">
        <f>YEAR(B56)</f>
        <v>2023</v>
      </c>
      <c r="L56" t="str">
        <f>TEXT(B56,"mmm")</f>
        <v>Sep</v>
      </c>
      <c r="M56" s="6">
        <f>J56/G56</f>
        <v>7.4065053379957432E-2</v>
      </c>
      <c r="N56" s="8">
        <f t="shared" si="0"/>
        <v>853.71616438356205</v>
      </c>
      <c r="O56" s="8">
        <f t="shared" si="1"/>
        <v>786.5</v>
      </c>
      <c r="P56" s="9">
        <f t="shared" si="2"/>
        <v>534.02150451503041</v>
      </c>
      <c r="Q56">
        <f t="shared" si="3"/>
        <v>285178.9672844967</v>
      </c>
      <c r="R56" s="4">
        <f t="shared" si="4"/>
        <v>1974.28</v>
      </c>
    </row>
    <row r="57" spans="1:18" x14ac:dyDescent="0.3">
      <c r="A57" s="1" t="s">
        <v>95</v>
      </c>
      <c r="B57" s="3" t="s">
        <v>295</v>
      </c>
      <c r="C57" s="1" t="s">
        <v>400</v>
      </c>
      <c r="D57" s="1" t="s">
        <v>403</v>
      </c>
      <c r="E57" s="1" t="s">
        <v>406</v>
      </c>
      <c r="F57" s="1" t="s">
        <v>410</v>
      </c>
      <c r="G57" s="4">
        <v>1241.3800000000001</v>
      </c>
      <c r="H57" s="5">
        <v>1</v>
      </c>
      <c r="I57" s="6">
        <v>0</v>
      </c>
      <c r="J57" s="4">
        <v>125</v>
      </c>
      <c r="K57">
        <f>YEAR(B57)</f>
        <v>2022</v>
      </c>
      <c r="L57" t="str">
        <f>TEXT(B57,"mmm")</f>
        <v>May</v>
      </c>
      <c r="M57" s="6">
        <f>J57/G57</f>
        <v>0.10069438850311749</v>
      </c>
      <c r="N57" s="8">
        <f t="shared" si="0"/>
        <v>847.71124137931054</v>
      </c>
      <c r="O57" s="8">
        <f t="shared" si="1"/>
        <v>784.05</v>
      </c>
      <c r="P57" s="9">
        <f t="shared" si="2"/>
        <v>530.90318158446144</v>
      </c>
      <c r="Q57">
        <f t="shared" si="3"/>
        <v>281858.18821650359</v>
      </c>
      <c r="R57" s="4">
        <f t="shared" si="4"/>
        <v>1974.28</v>
      </c>
    </row>
    <row r="58" spans="1:18" x14ac:dyDescent="0.3">
      <c r="A58" s="1" t="s">
        <v>86</v>
      </c>
      <c r="B58" s="3" t="s">
        <v>286</v>
      </c>
      <c r="C58" s="1" t="s">
        <v>398</v>
      </c>
      <c r="D58" s="1" t="s">
        <v>403</v>
      </c>
      <c r="E58" s="1" t="s">
        <v>405</v>
      </c>
      <c r="F58" s="1" t="s">
        <v>411</v>
      </c>
      <c r="G58" s="4">
        <v>1679.18</v>
      </c>
      <c r="H58" s="5">
        <v>1</v>
      </c>
      <c r="I58" s="6">
        <v>0</v>
      </c>
      <c r="J58" s="4">
        <v>116.56</v>
      </c>
      <c r="K58">
        <f>YEAR(B58)</f>
        <v>2022</v>
      </c>
      <c r="L58" t="str">
        <f>TEXT(B58,"mmm")</f>
        <v>Jan</v>
      </c>
      <c r="M58" s="6">
        <f>J58/G58</f>
        <v>6.9414833430603035E-2</v>
      </c>
      <c r="N58" s="8">
        <f t="shared" si="0"/>
        <v>844.97743055555588</v>
      </c>
      <c r="O58" s="8">
        <f t="shared" si="1"/>
        <v>783.375</v>
      </c>
      <c r="P58" s="9">
        <f t="shared" si="2"/>
        <v>531.73109427005625</v>
      </c>
      <c r="Q58">
        <f t="shared" si="3"/>
        <v>282737.9566136314</v>
      </c>
      <c r="R58" s="4">
        <f t="shared" si="4"/>
        <v>1974.28</v>
      </c>
    </row>
    <row r="59" spans="1:18" x14ac:dyDescent="0.3">
      <c r="A59" s="1" t="s">
        <v>67</v>
      </c>
      <c r="B59" s="3" t="s">
        <v>267</v>
      </c>
      <c r="C59" s="1" t="s">
        <v>398</v>
      </c>
      <c r="D59" s="1" t="s">
        <v>404</v>
      </c>
      <c r="E59" s="1" t="s">
        <v>405</v>
      </c>
      <c r="F59" s="1" t="s">
        <v>410</v>
      </c>
      <c r="G59" s="4">
        <v>935.77</v>
      </c>
      <c r="H59" s="5">
        <v>1</v>
      </c>
      <c r="I59" s="6">
        <v>0.2</v>
      </c>
      <c r="J59" s="4">
        <v>116.48</v>
      </c>
      <c r="K59">
        <f>YEAR(B59)</f>
        <v>2020</v>
      </c>
      <c r="L59" t="str">
        <f>TEXT(B59,"mmm")</f>
        <v>Sep</v>
      </c>
      <c r="M59" s="6">
        <f>J59/G59</f>
        <v>0.12447503125768085</v>
      </c>
      <c r="N59" s="8">
        <f t="shared" si="0"/>
        <v>839.14384615384643</v>
      </c>
      <c r="O59" s="8">
        <f t="shared" si="1"/>
        <v>782.7</v>
      </c>
      <c r="P59" s="9">
        <f t="shared" si="2"/>
        <v>528.95570435292325</v>
      </c>
      <c r="Q59">
        <f t="shared" si="3"/>
        <v>279794.13716749719</v>
      </c>
      <c r="R59" s="4">
        <f t="shared" si="4"/>
        <v>1974.28</v>
      </c>
    </row>
    <row r="60" spans="1:18" x14ac:dyDescent="0.3">
      <c r="A60" s="1" t="s">
        <v>118</v>
      </c>
      <c r="B60" s="3" t="s">
        <v>316</v>
      </c>
      <c r="C60" s="1" t="s">
        <v>400</v>
      </c>
      <c r="D60" s="1" t="s">
        <v>403</v>
      </c>
      <c r="E60" s="1" t="s">
        <v>408</v>
      </c>
      <c r="F60" s="1" t="s">
        <v>409</v>
      </c>
      <c r="G60" s="4">
        <v>1492.21</v>
      </c>
      <c r="H60" s="5">
        <v>9</v>
      </c>
      <c r="I60" s="6">
        <v>0</v>
      </c>
      <c r="J60" s="4">
        <v>113.99</v>
      </c>
      <c r="K60">
        <f>YEAR(B60)</f>
        <v>2021</v>
      </c>
      <c r="L60" t="str">
        <f>TEXT(B60,"mmm")</f>
        <v>May</v>
      </c>
      <c r="M60" s="6">
        <f>J60/G60</f>
        <v>7.6390052338477829E-2</v>
      </c>
      <c r="N60" s="8">
        <f t="shared" si="0"/>
        <v>838.46338028169043</v>
      </c>
      <c r="O60" s="8">
        <f t="shared" si="1"/>
        <v>777.82</v>
      </c>
      <c r="P60" s="9">
        <f t="shared" si="2"/>
        <v>530.76530530426862</v>
      </c>
      <c r="Q60">
        <f t="shared" si="3"/>
        <v>281711.80931473349</v>
      </c>
      <c r="R60" s="4">
        <f t="shared" si="4"/>
        <v>1974.28</v>
      </c>
    </row>
    <row r="61" spans="1:18" x14ac:dyDescent="0.3">
      <c r="A61" s="1" t="s">
        <v>26</v>
      </c>
      <c r="B61" s="3" t="s">
        <v>226</v>
      </c>
      <c r="C61" s="1" t="s">
        <v>399</v>
      </c>
      <c r="D61" s="1" t="s">
        <v>403</v>
      </c>
      <c r="E61" s="1" t="s">
        <v>406</v>
      </c>
      <c r="F61" s="1" t="s">
        <v>411</v>
      </c>
      <c r="G61" s="4">
        <v>621.85</v>
      </c>
      <c r="H61" s="5">
        <v>1</v>
      </c>
      <c r="I61" s="6">
        <v>0.3</v>
      </c>
      <c r="J61" s="4">
        <v>113.56</v>
      </c>
      <c r="K61">
        <f>YEAR(B61)</f>
        <v>2020</v>
      </c>
      <c r="L61" t="str">
        <f>TEXT(B61,"mmm")</f>
        <v>Feb</v>
      </c>
      <c r="M61" s="6">
        <f>J61/G61</f>
        <v>0.18261638658840557</v>
      </c>
      <c r="N61" s="8">
        <f t="shared" si="0"/>
        <v>833.82687943262442</v>
      </c>
      <c r="O61" s="8">
        <f t="shared" si="1"/>
        <v>772.94</v>
      </c>
      <c r="P61" s="9">
        <f t="shared" si="2"/>
        <v>529.76375714508629</v>
      </c>
      <c r="Q61">
        <f t="shared" si="3"/>
        <v>280649.63838447799</v>
      </c>
      <c r="R61" s="4">
        <f t="shared" si="4"/>
        <v>1974.28</v>
      </c>
    </row>
    <row r="62" spans="1:18" x14ac:dyDescent="0.3">
      <c r="A62" s="1" t="s">
        <v>62</v>
      </c>
      <c r="B62" s="3" t="s">
        <v>262</v>
      </c>
      <c r="C62" s="1" t="s">
        <v>400</v>
      </c>
      <c r="D62" s="1" t="s">
        <v>402</v>
      </c>
      <c r="E62" s="1" t="s">
        <v>406</v>
      </c>
      <c r="F62" s="1" t="s">
        <v>411</v>
      </c>
      <c r="G62" s="4">
        <v>576.45000000000005</v>
      </c>
      <c r="H62" s="5">
        <v>4</v>
      </c>
      <c r="I62" s="6">
        <v>0.3</v>
      </c>
      <c r="J62" s="4">
        <v>113.48</v>
      </c>
      <c r="K62">
        <f>YEAR(B62)</f>
        <v>2022</v>
      </c>
      <c r="L62" t="str">
        <f>TEXT(B62,"mmm")</f>
        <v>Apr</v>
      </c>
      <c r="M62" s="6">
        <f>J62/G62</f>
        <v>0.19686009194205914</v>
      </c>
      <c r="N62" s="8">
        <f t="shared" si="0"/>
        <v>835.34100000000035</v>
      </c>
      <c r="O62" s="8">
        <f t="shared" si="1"/>
        <v>777.82</v>
      </c>
      <c r="P62" s="9">
        <f t="shared" si="2"/>
        <v>531.35969349349034</v>
      </c>
      <c r="Q62">
        <f t="shared" si="3"/>
        <v>282343.12386949605</v>
      </c>
      <c r="R62" s="4">
        <f t="shared" si="4"/>
        <v>1974.28</v>
      </c>
    </row>
    <row r="63" spans="1:18" x14ac:dyDescent="0.3">
      <c r="A63" s="1" t="s">
        <v>127</v>
      </c>
      <c r="B63" s="3" t="s">
        <v>325</v>
      </c>
      <c r="C63" s="1" t="s">
        <v>399</v>
      </c>
      <c r="D63" s="1" t="s">
        <v>403</v>
      </c>
      <c r="E63" s="1" t="s">
        <v>405</v>
      </c>
      <c r="F63" s="1" t="s">
        <v>409</v>
      </c>
      <c r="G63" s="4">
        <v>710.17</v>
      </c>
      <c r="H63" s="5">
        <v>7</v>
      </c>
      <c r="I63" s="6">
        <v>0</v>
      </c>
      <c r="J63" s="4">
        <v>111.1</v>
      </c>
      <c r="K63">
        <f>YEAR(B63)</f>
        <v>2021</v>
      </c>
      <c r="L63" t="str">
        <f>TEXT(B63,"mmm")</f>
        <v>Apr</v>
      </c>
      <c r="M63" s="6">
        <f>J63/G63</f>
        <v>0.15644141543574075</v>
      </c>
      <c r="N63" s="8">
        <f t="shared" si="0"/>
        <v>837.20352517985646</v>
      </c>
      <c r="O63" s="8">
        <f t="shared" si="1"/>
        <v>782.7</v>
      </c>
      <c r="P63" s="9">
        <f t="shared" si="2"/>
        <v>532.82258703383127</v>
      </c>
      <c r="Q63">
        <f t="shared" si="3"/>
        <v>283899.90925342473</v>
      </c>
      <c r="R63" s="4">
        <f t="shared" si="4"/>
        <v>1974.28</v>
      </c>
    </row>
    <row r="64" spans="1:18" x14ac:dyDescent="0.3">
      <c r="A64" s="1" t="s">
        <v>74</v>
      </c>
      <c r="B64" s="3" t="s">
        <v>274</v>
      </c>
      <c r="C64" s="1" t="s">
        <v>400</v>
      </c>
      <c r="D64" s="1" t="s">
        <v>402</v>
      </c>
      <c r="E64" s="1" t="s">
        <v>407</v>
      </c>
      <c r="F64" s="1" t="s">
        <v>409</v>
      </c>
      <c r="G64" s="4">
        <v>570.20000000000005</v>
      </c>
      <c r="H64" s="5">
        <v>10</v>
      </c>
      <c r="I64" s="6">
        <v>0.3</v>
      </c>
      <c r="J64" s="4">
        <v>110.54</v>
      </c>
      <c r="K64">
        <f>YEAR(B64)</f>
        <v>2023</v>
      </c>
      <c r="L64" t="str">
        <f>TEXT(B64,"mmm")</f>
        <v>May</v>
      </c>
      <c r="M64" s="6">
        <f>J64/G64</f>
        <v>0.19386180287618379</v>
      </c>
      <c r="N64" s="8">
        <f t="shared" si="0"/>
        <v>838.12405797101474</v>
      </c>
      <c r="O64" s="8">
        <f t="shared" si="1"/>
        <v>783.375</v>
      </c>
      <c r="P64" s="9">
        <f t="shared" si="2"/>
        <v>534.65271504734733</v>
      </c>
      <c r="Q64">
        <f t="shared" si="3"/>
        <v>285853.52570749994</v>
      </c>
      <c r="R64" s="4">
        <f t="shared" si="4"/>
        <v>1974.28</v>
      </c>
    </row>
    <row r="65" spans="1:18" x14ac:dyDescent="0.3">
      <c r="A65" s="1" t="s">
        <v>39</v>
      </c>
      <c r="B65" s="3" t="s">
        <v>239</v>
      </c>
      <c r="C65" s="1" t="s">
        <v>401</v>
      </c>
      <c r="D65" s="1" t="s">
        <v>402</v>
      </c>
      <c r="E65" s="1" t="s">
        <v>408</v>
      </c>
      <c r="F65" s="1" t="s">
        <v>411</v>
      </c>
      <c r="G65" s="4">
        <v>1617.51</v>
      </c>
      <c r="H65" s="5">
        <v>1</v>
      </c>
      <c r="I65" s="6">
        <v>0.2</v>
      </c>
      <c r="J65" s="4">
        <v>110.39</v>
      </c>
      <c r="K65">
        <f>YEAR(B65)</f>
        <v>2021</v>
      </c>
      <c r="L65" t="str">
        <f>TEXT(B65,"mmm")</f>
        <v>Oct</v>
      </c>
      <c r="M65" s="6">
        <f>J65/G65</f>
        <v>6.8246873280536136E-2</v>
      </c>
      <c r="N65" s="8">
        <f t="shared" si="0"/>
        <v>840.07970802919738</v>
      </c>
      <c r="O65" s="8">
        <f t="shared" si="1"/>
        <v>784.05</v>
      </c>
      <c r="P65" s="9">
        <f t="shared" si="2"/>
        <v>536.11912742376558</v>
      </c>
      <c r="Q65">
        <f t="shared" si="3"/>
        <v>287423.7187896198</v>
      </c>
      <c r="R65" s="4">
        <f t="shared" si="4"/>
        <v>1974.28</v>
      </c>
    </row>
    <row r="66" spans="1:18" x14ac:dyDescent="0.3">
      <c r="A66" s="1" t="s">
        <v>46</v>
      </c>
      <c r="B66" s="3" t="s">
        <v>246</v>
      </c>
      <c r="C66" s="1" t="s">
        <v>400</v>
      </c>
      <c r="D66" s="1" t="s">
        <v>404</v>
      </c>
      <c r="E66" s="1" t="s">
        <v>406</v>
      </c>
      <c r="F66" s="1" t="s">
        <v>410</v>
      </c>
      <c r="G66" s="4">
        <v>1516.35</v>
      </c>
      <c r="H66" s="5">
        <v>4</v>
      </c>
      <c r="I66" s="6">
        <v>0.1</v>
      </c>
      <c r="J66" s="4">
        <v>110.38</v>
      </c>
      <c r="K66">
        <f>YEAR(B66)</f>
        <v>2023</v>
      </c>
      <c r="L66" t="str">
        <f>TEXT(B66,"mmm")</f>
        <v>Jul</v>
      </c>
      <c r="M66" s="6">
        <f>J66/G66</f>
        <v>7.2793220562535038E-2</v>
      </c>
      <c r="N66" s="8">
        <f t="shared" si="0"/>
        <v>834.36330882352979</v>
      </c>
      <c r="O66" s="8">
        <f t="shared" si="1"/>
        <v>783.375</v>
      </c>
      <c r="P66" s="9">
        <f t="shared" si="2"/>
        <v>533.89403716753031</v>
      </c>
      <c r="Q66">
        <f t="shared" si="3"/>
        <v>285042.84292304429</v>
      </c>
      <c r="R66" s="4">
        <f t="shared" si="4"/>
        <v>1974.28</v>
      </c>
    </row>
    <row r="67" spans="1:18" x14ac:dyDescent="0.3">
      <c r="A67" s="1" t="s">
        <v>83</v>
      </c>
      <c r="B67" s="3" t="s">
        <v>283</v>
      </c>
      <c r="C67" s="1" t="s">
        <v>401</v>
      </c>
      <c r="D67" s="1" t="s">
        <v>404</v>
      </c>
      <c r="E67" s="1" t="s">
        <v>408</v>
      </c>
      <c r="F67" s="1" t="s">
        <v>409</v>
      </c>
      <c r="G67" s="4">
        <v>605.01</v>
      </c>
      <c r="H67" s="5">
        <v>7</v>
      </c>
      <c r="I67" s="6">
        <v>0</v>
      </c>
      <c r="J67" s="4">
        <v>110.06</v>
      </c>
      <c r="K67">
        <f>YEAR(B67)</f>
        <v>2020</v>
      </c>
      <c r="L67" t="str">
        <f>TEXT(B67,"mmm")</f>
        <v>Aug</v>
      </c>
      <c r="M67" s="6">
        <f>J67/G67</f>
        <v>0.1819143485231649</v>
      </c>
      <c r="N67" s="8">
        <f t="shared" ref="N67:N130" si="5">AVERAGE(G67:G266)</f>
        <v>829.31155555555597</v>
      </c>
      <c r="O67" s="8">
        <f t="shared" ref="O67:O130" si="6">MEDIAN(G67:G266)</f>
        <v>782.7</v>
      </c>
      <c r="P67" s="9">
        <f t="shared" ref="P67:P130" si="7">_xlfn.STDEV.S(G67:G266)</f>
        <v>532.60996845843317</v>
      </c>
      <c r="Q67">
        <f t="shared" ref="Q67:Q130" si="8">_xlfn.VAR.S(G67:G266)</f>
        <v>283673.37850129313</v>
      </c>
      <c r="R67" s="4">
        <f t="shared" ref="R67:R130" si="9">MAX(G67:G266)-MIN(G67:G266)</f>
        <v>1974.28</v>
      </c>
    </row>
    <row r="68" spans="1:18" x14ac:dyDescent="0.3">
      <c r="A68" s="1" t="s">
        <v>53</v>
      </c>
      <c r="B68" s="3" t="s">
        <v>253</v>
      </c>
      <c r="C68" s="1" t="s">
        <v>398</v>
      </c>
      <c r="D68" s="1" t="s">
        <v>403</v>
      </c>
      <c r="E68" s="1" t="s">
        <v>406</v>
      </c>
      <c r="F68" s="1" t="s">
        <v>409</v>
      </c>
      <c r="G68" s="4">
        <v>784.05</v>
      </c>
      <c r="H68" s="5">
        <v>8</v>
      </c>
      <c r="I68" s="6">
        <v>0</v>
      </c>
      <c r="J68" s="4">
        <v>108.82</v>
      </c>
      <c r="K68">
        <f>YEAR(B68)</f>
        <v>2022</v>
      </c>
      <c r="L68" t="str">
        <f>TEXT(B68,"mmm")</f>
        <v>Dec</v>
      </c>
      <c r="M68" s="6">
        <f>J68/G68</f>
        <v>0.13879216886678145</v>
      </c>
      <c r="N68" s="8">
        <f t="shared" si="5"/>
        <v>830.98544776119434</v>
      </c>
      <c r="O68" s="8">
        <f t="shared" si="6"/>
        <v>783.375</v>
      </c>
      <c r="P68" s="9">
        <f t="shared" si="7"/>
        <v>534.25196158419908</v>
      </c>
      <c r="Q68">
        <f t="shared" si="8"/>
        <v>285425.15845656453</v>
      </c>
      <c r="R68" s="4">
        <f t="shared" si="9"/>
        <v>1974.28</v>
      </c>
    </row>
    <row r="69" spans="1:18" x14ac:dyDescent="0.3">
      <c r="A69" s="1" t="s">
        <v>199</v>
      </c>
      <c r="B69" s="3" t="s">
        <v>390</v>
      </c>
      <c r="C69" s="1" t="s">
        <v>401</v>
      </c>
      <c r="D69" s="1" t="s">
        <v>403</v>
      </c>
      <c r="E69" s="1" t="s">
        <v>406</v>
      </c>
      <c r="F69" s="1" t="s">
        <v>410</v>
      </c>
      <c r="G69" s="4">
        <v>1839.34</v>
      </c>
      <c r="H69" s="5">
        <v>3</v>
      </c>
      <c r="I69" s="6">
        <v>0</v>
      </c>
      <c r="J69" s="4">
        <v>107.57</v>
      </c>
      <c r="K69">
        <f>YEAR(B69)</f>
        <v>2021</v>
      </c>
      <c r="L69" t="str">
        <f>TEXT(B69,"mmm")</f>
        <v>Sep</v>
      </c>
      <c r="M69" s="6">
        <f>J69/G69</f>
        <v>5.8482934095925712E-2</v>
      </c>
      <c r="N69" s="8">
        <f t="shared" si="5"/>
        <v>831.33834586466207</v>
      </c>
      <c r="O69" s="8">
        <f t="shared" si="6"/>
        <v>782.7</v>
      </c>
      <c r="P69" s="9">
        <f t="shared" si="7"/>
        <v>536.25614763048179</v>
      </c>
      <c r="Q69">
        <f t="shared" si="8"/>
        <v>287570.65587148513</v>
      </c>
      <c r="R69" s="4">
        <f t="shared" si="9"/>
        <v>1974.28</v>
      </c>
    </row>
    <row r="70" spans="1:18" x14ac:dyDescent="0.3">
      <c r="A70" s="1" t="s">
        <v>29</v>
      </c>
      <c r="B70" s="3" t="s">
        <v>229</v>
      </c>
      <c r="C70" s="1" t="s">
        <v>398</v>
      </c>
      <c r="D70" s="1" t="s">
        <v>403</v>
      </c>
      <c r="E70" s="1" t="s">
        <v>407</v>
      </c>
      <c r="F70" s="1" t="s">
        <v>410</v>
      </c>
      <c r="G70" s="4">
        <v>885.49</v>
      </c>
      <c r="H70" s="5">
        <v>3</v>
      </c>
      <c r="I70" s="6">
        <v>0.3</v>
      </c>
      <c r="J70" s="4">
        <v>106.17</v>
      </c>
      <c r="K70">
        <f>YEAR(B70)</f>
        <v>2020</v>
      </c>
      <c r="L70" t="str">
        <f>TEXT(B70,"mmm")</f>
        <v>May</v>
      </c>
      <c r="M70" s="6">
        <f>J70/G70</f>
        <v>0.11989971654112412</v>
      </c>
      <c r="N70" s="8">
        <f t="shared" si="5"/>
        <v>823.7019696969702</v>
      </c>
      <c r="O70" s="8">
        <f t="shared" si="6"/>
        <v>777.82</v>
      </c>
      <c r="P70" s="9">
        <f t="shared" si="7"/>
        <v>530.99044542580521</v>
      </c>
      <c r="Q70">
        <f t="shared" si="8"/>
        <v>281950.85313349497</v>
      </c>
      <c r="R70" s="4">
        <f t="shared" si="9"/>
        <v>1974.28</v>
      </c>
    </row>
    <row r="71" spans="1:18" x14ac:dyDescent="0.3">
      <c r="A71" s="1" t="s">
        <v>19</v>
      </c>
      <c r="B71" s="3" t="s">
        <v>219</v>
      </c>
      <c r="C71" s="1" t="s">
        <v>398</v>
      </c>
      <c r="D71" s="1" t="s">
        <v>402</v>
      </c>
      <c r="E71" s="1" t="s">
        <v>408</v>
      </c>
      <c r="F71" s="1" t="s">
        <v>411</v>
      </c>
      <c r="G71" s="4">
        <v>1744.42</v>
      </c>
      <c r="H71" s="5">
        <v>7</v>
      </c>
      <c r="I71" s="6">
        <v>0.1</v>
      </c>
      <c r="J71" s="4">
        <v>105.08</v>
      </c>
      <c r="K71">
        <f>YEAR(B71)</f>
        <v>2022</v>
      </c>
      <c r="L71" t="str">
        <f>TEXT(B71,"mmm")</f>
        <v>Jan</v>
      </c>
      <c r="M71" s="6">
        <f>J71/G71</f>
        <v>6.0237786771534373E-2</v>
      </c>
      <c r="N71" s="8">
        <f t="shared" si="5"/>
        <v>823.23030534351187</v>
      </c>
      <c r="O71" s="8">
        <f t="shared" si="6"/>
        <v>772.94</v>
      </c>
      <c r="P71" s="9">
        <f t="shared" si="7"/>
        <v>533.00104529113662</v>
      </c>
      <c r="Q71">
        <f t="shared" si="8"/>
        <v>284090.11428144423</v>
      </c>
      <c r="R71" s="4">
        <f t="shared" si="9"/>
        <v>1974.28</v>
      </c>
    </row>
    <row r="72" spans="1:18" x14ac:dyDescent="0.3">
      <c r="A72" s="1" t="s">
        <v>41</v>
      </c>
      <c r="B72" s="3" t="s">
        <v>241</v>
      </c>
      <c r="C72" s="1" t="s">
        <v>398</v>
      </c>
      <c r="D72" s="1" t="s">
        <v>402</v>
      </c>
      <c r="E72" s="1" t="s">
        <v>407</v>
      </c>
      <c r="F72" s="1" t="s">
        <v>409</v>
      </c>
      <c r="G72" s="4">
        <v>782.7</v>
      </c>
      <c r="H72" s="5">
        <v>3</v>
      </c>
      <c r="I72" s="6">
        <v>0.3</v>
      </c>
      <c r="J72" s="4">
        <v>102.25</v>
      </c>
      <c r="K72">
        <f>YEAR(B72)</f>
        <v>2020</v>
      </c>
      <c r="L72" t="str">
        <f>TEXT(B72,"mmm")</f>
        <v>Jul</v>
      </c>
      <c r="M72" s="6">
        <f>J72/G72</f>
        <v>0.13063753673182574</v>
      </c>
      <c r="N72" s="8">
        <f t="shared" si="5"/>
        <v>816.14423076923117</v>
      </c>
      <c r="O72" s="8">
        <f t="shared" si="6"/>
        <v>771.92499999999995</v>
      </c>
      <c r="P72" s="9">
        <f t="shared" si="7"/>
        <v>528.8322427411</v>
      </c>
      <c r="Q72">
        <f t="shared" si="8"/>
        <v>279663.5409625817</v>
      </c>
      <c r="R72" s="4">
        <f t="shared" si="9"/>
        <v>1974.28</v>
      </c>
    </row>
    <row r="73" spans="1:18" x14ac:dyDescent="0.3">
      <c r="A73" s="1" t="s">
        <v>66</v>
      </c>
      <c r="B73" s="3" t="s">
        <v>266</v>
      </c>
      <c r="C73" s="1" t="s">
        <v>400</v>
      </c>
      <c r="D73" s="1" t="s">
        <v>404</v>
      </c>
      <c r="E73" s="1" t="s">
        <v>407</v>
      </c>
      <c r="F73" s="1" t="s">
        <v>411</v>
      </c>
      <c r="G73" s="4">
        <v>899.83</v>
      </c>
      <c r="H73" s="5">
        <v>9</v>
      </c>
      <c r="I73" s="6">
        <v>0.1</v>
      </c>
      <c r="J73" s="4">
        <v>100.95</v>
      </c>
      <c r="K73">
        <f>YEAR(B73)</f>
        <v>2023</v>
      </c>
      <c r="L73" t="str">
        <f>TEXT(B73,"mmm")</f>
        <v>May</v>
      </c>
      <c r="M73" s="6">
        <f>J73/G73</f>
        <v>0.11218785770645566</v>
      </c>
      <c r="N73" s="8">
        <f t="shared" si="5"/>
        <v>816.40348837209365</v>
      </c>
      <c r="O73" s="8">
        <f t="shared" si="6"/>
        <v>770.91</v>
      </c>
      <c r="P73" s="9">
        <f t="shared" si="7"/>
        <v>530.88568093895401</v>
      </c>
      <c r="Q73">
        <f t="shared" si="8"/>
        <v>281839.60622601688</v>
      </c>
      <c r="R73" s="4">
        <f t="shared" si="9"/>
        <v>1974.28</v>
      </c>
    </row>
    <row r="74" spans="1:18" x14ac:dyDescent="0.3">
      <c r="A74" s="1" t="s">
        <v>180</v>
      </c>
      <c r="B74" s="3" t="s">
        <v>374</v>
      </c>
      <c r="C74" s="1" t="s">
        <v>398</v>
      </c>
      <c r="D74" s="1" t="s">
        <v>403</v>
      </c>
      <c r="E74" s="1" t="s">
        <v>405</v>
      </c>
      <c r="F74" s="1" t="s">
        <v>410</v>
      </c>
      <c r="G74" s="4">
        <v>1222.6400000000001</v>
      </c>
      <c r="H74" s="5">
        <v>7</v>
      </c>
      <c r="I74" s="6">
        <v>0</v>
      </c>
      <c r="J74" s="4">
        <v>100.32</v>
      </c>
      <c r="K74">
        <f>YEAR(B74)</f>
        <v>2021</v>
      </c>
      <c r="L74" t="str">
        <f>TEXT(B74,"mmm")</f>
        <v>Jun</v>
      </c>
      <c r="M74" s="6">
        <f>J74/G74</f>
        <v>8.2051953150559437E-2</v>
      </c>
      <c r="N74" s="8">
        <f t="shared" si="5"/>
        <v>815.75171875000046</v>
      </c>
      <c r="O74" s="8">
        <f t="shared" si="6"/>
        <v>768.995</v>
      </c>
      <c r="P74" s="9">
        <f t="shared" si="7"/>
        <v>532.91986692260025</v>
      </c>
      <c r="Q74">
        <f t="shared" si="8"/>
        <v>284003.58456080192</v>
      </c>
      <c r="R74" s="4">
        <f t="shared" si="9"/>
        <v>1974.28</v>
      </c>
    </row>
    <row r="75" spans="1:18" x14ac:dyDescent="0.3">
      <c r="A75" s="1" t="s">
        <v>196</v>
      </c>
      <c r="B75" s="3" t="s">
        <v>387</v>
      </c>
      <c r="C75" s="1" t="s">
        <v>400</v>
      </c>
      <c r="D75" s="1" t="s">
        <v>403</v>
      </c>
      <c r="E75" s="1" t="s">
        <v>406</v>
      </c>
      <c r="F75" s="1" t="s">
        <v>409</v>
      </c>
      <c r="G75" s="4">
        <v>970.58</v>
      </c>
      <c r="H75" s="5">
        <v>6</v>
      </c>
      <c r="I75" s="6">
        <v>0.3</v>
      </c>
      <c r="J75" s="4">
        <v>94.95</v>
      </c>
      <c r="K75">
        <f>YEAR(B75)</f>
        <v>2020</v>
      </c>
      <c r="L75" t="str">
        <f>TEXT(B75,"mmm")</f>
        <v>Feb</v>
      </c>
      <c r="M75" s="6">
        <f>J75/G75</f>
        <v>9.7828102783902401E-2</v>
      </c>
      <c r="N75" s="8">
        <f t="shared" si="5"/>
        <v>812.54787401574845</v>
      </c>
      <c r="O75" s="8">
        <f t="shared" si="6"/>
        <v>767.08</v>
      </c>
      <c r="P75" s="9">
        <f t="shared" si="7"/>
        <v>533.79142201209822</v>
      </c>
      <c r="Q75">
        <f t="shared" si="8"/>
        <v>284933.28221369797</v>
      </c>
      <c r="R75" s="4">
        <f t="shared" si="9"/>
        <v>1974.28</v>
      </c>
    </row>
    <row r="76" spans="1:18" x14ac:dyDescent="0.3">
      <c r="A76" s="1" t="s">
        <v>81</v>
      </c>
      <c r="B76" s="3" t="s">
        <v>281</v>
      </c>
      <c r="C76" s="1" t="s">
        <v>401</v>
      </c>
      <c r="D76" s="1" t="s">
        <v>404</v>
      </c>
      <c r="E76" s="1" t="s">
        <v>408</v>
      </c>
      <c r="F76" s="1" t="s">
        <v>411</v>
      </c>
      <c r="G76" s="4">
        <v>1840.96</v>
      </c>
      <c r="H76" s="5">
        <v>4</v>
      </c>
      <c r="I76" s="6">
        <v>0.2</v>
      </c>
      <c r="J76" s="4">
        <v>94.77</v>
      </c>
      <c r="K76">
        <f>YEAR(B76)</f>
        <v>2020</v>
      </c>
      <c r="L76" t="str">
        <f>TEXT(B76,"mmm")</f>
        <v>Sep</v>
      </c>
      <c r="M76" s="6">
        <f>J76/G76</f>
        <v>5.1478576394924383E-2</v>
      </c>
      <c r="N76" s="8">
        <f t="shared" si="5"/>
        <v>811.2936507936513</v>
      </c>
      <c r="O76" s="8">
        <f t="shared" si="6"/>
        <v>762.34500000000003</v>
      </c>
      <c r="P76" s="9">
        <f t="shared" si="7"/>
        <v>535.73442076103788</v>
      </c>
      <c r="Q76">
        <f t="shared" si="8"/>
        <v>287011.36958816479</v>
      </c>
      <c r="R76" s="4">
        <f t="shared" si="9"/>
        <v>1974.28</v>
      </c>
    </row>
    <row r="77" spans="1:18" x14ac:dyDescent="0.3">
      <c r="A77" s="1" t="s">
        <v>112</v>
      </c>
      <c r="B77" s="3" t="s">
        <v>311</v>
      </c>
      <c r="C77" s="1" t="s">
        <v>399</v>
      </c>
      <c r="D77" s="1" t="s">
        <v>403</v>
      </c>
      <c r="E77" s="1" t="s">
        <v>408</v>
      </c>
      <c r="F77" s="1" t="s">
        <v>410</v>
      </c>
      <c r="G77" s="4">
        <v>649.85</v>
      </c>
      <c r="H77" s="5">
        <v>1</v>
      </c>
      <c r="I77" s="6">
        <v>0.1</v>
      </c>
      <c r="J77" s="4">
        <v>91.53</v>
      </c>
      <c r="K77">
        <f>YEAR(B77)</f>
        <v>2022</v>
      </c>
      <c r="L77" t="str">
        <f>TEXT(B77,"mmm")</f>
        <v>Jul</v>
      </c>
      <c r="M77" s="6">
        <f>J77/G77</f>
        <v>0.14084788797414788</v>
      </c>
      <c r="N77" s="8">
        <f t="shared" si="5"/>
        <v>803.05632000000048</v>
      </c>
      <c r="O77" s="8">
        <f t="shared" si="6"/>
        <v>757.61</v>
      </c>
      <c r="P77" s="9">
        <f t="shared" si="7"/>
        <v>529.81834002940025</v>
      </c>
      <c r="Q77">
        <f t="shared" si="8"/>
        <v>280707.47343150922</v>
      </c>
      <c r="R77" s="4">
        <f t="shared" si="9"/>
        <v>1974.28</v>
      </c>
    </row>
    <row r="78" spans="1:18" x14ac:dyDescent="0.3">
      <c r="A78" s="1" t="s">
        <v>179</v>
      </c>
      <c r="B78" s="3" t="s">
        <v>227</v>
      </c>
      <c r="C78" s="1" t="s">
        <v>398</v>
      </c>
      <c r="D78" s="1" t="s">
        <v>402</v>
      </c>
      <c r="E78" s="1" t="s">
        <v>408</v>
      </c>
      <c r="F78" s="1" t="s">
        <v>411</v>
      </c>
      <c r="G78" s="4">
        <v>888.28</v>
      </c>
      <c r="H78" s="5">
        <v>8</v>
      </c>
      <c r="I78" s="6">
        <v>0.1</v>
      </c>
      <c r="J78" s="4">
        <v>89.8</v>
      </c>
      <c r="K78">
        <f>YEAR(B78)</f>
        <v>2023</v>
      </c>
      <c r="L78" t="str">
        <f>TEXT(B78,"mmm")</f>
        <v>Sep</v>
      </c>
      <c r="M78" s="6">
        <f>J78/G78</f>
        <v>0.10109424956094926</v>
      </c>
      <c r="N78" s="8">
        <f t="shared" si="5"/>
        <v>804.29185483871015</v>
      </c>
      <c r="O78" s="8">
        <f t="shared" si="6"/>
        <v>762.34500000000003</v>
      </c>
      <c r="P78" s="9">
        <f t="shared" si="7"/>
        <v>531.78687305330868</v>
      </c>
      <c r="Q78">
        <f t="shared" si="8"/>
        <v>282797.27835181588</v>
      </c>
      <c r="R78" s="4">
        <f t="shared" si="9"/>
        <v>1974.28</v>
      </c>
    </row>
    <row r="79" spans="1:18" x14ac:dyDescent="0.3">
      <c r="A79" s="1" t="s">
        <v>167</v>
      </c>
      <c r="B79" s="3" t="s">
        <v>363</v>
      </c>
      <c r="C79" s="1" t="s">
        <v>401</v>
      </c>
      <c r="D79" s="1" t="s">
        <v>404</v>
      </c>
      <c r="E79" s="1" t="s">
        <v>407</v>
      </c>
      <c r="F79" s="1" t="s">
        <v>410</v>
      </c>
      <c r="G79" s="4">
        <v>1073.2</v>
      </c>
      <c r="H79" s="5">
        <v>1</v>
      </c>
      <c r="I79" s="6">
        <v>0.2</v>
      </c>
      <c r="J79" s="4">
        <v>88.07</v>
      </c>
      <c r="K79">
        <f>YEAR(B79)</f>
        <v>2021</v>
      </c>
      <c r="L79" t="str">
        <f>TEXT(B79,"mmm")</f>
        <v>Nov</v>
      </c>
      <c r="M79" s="6">
        <f>J79/G79</f>
        <v>8.2062989191203861E-2</v>
      </c>
      <c r="N79" s="8">
        <f t="shared" si="5"/>
        <v>803.60902439024437</v>
      </c>
      <c r="O79" s="8">
        <f t="shared" si="6"/>
        <v>757.61</v>
      </c>
      <c r="P79" s="9">
        <f t="shared" si="7"/>
        <v>533.90729439564336</v>
      </c>
      <c r="Q79">
        <f t="shared" si="8"/>
        <v>285056.99900887616</v>
      </c>
      <c r="R79" s="4">
        <f t="shared" si="9"/>
        <v>1974.28</v>
      </c>
    </row>
    <row r="80" spans="1:18" x14ac:dyDescent="0.3">
      <c r="A80" s="1" t="s">
        <v>113</v>
      </c>
      <c r="B80" s="3" t="s">
        <v>312</v>
      </c>
      <c r="C80" s="1" t="s">
        <v>401</v>
      </c>
      <c r="D80" s="1" t="s">
        <v>404</v>
      </c>
      <c r="E80" s="1" t="s">
        <v>406</v>
      </c>
      <c r="F80" s="1" t="s">
        <v>409</v>
      </c>
      <c r="G80" s="4">
        <v>1216.78</v>
      </c>
      <c r="H80" s="5">
        <v>3</v>
      </c>
      <c r="I80" s="6">
        <v>0</v>
      </c>
      <c r="J80" s="4">
        <v>87.33</v>
      </c>
      <c r="K80">
        <f>YEAR(B80)</f>
        <v>2021</v>
      </c>
      <c r="L80" t="str">
        <f>TEXT(B80,"mmm")</f>
        <v>Apr</v>
      </c>
      <c r="M80" s="6">
        <f>J80/G80</f>
        <v>7.1771396637025586E-2</v>
      </c>
      <c r="N80" s="8">
        <f t="shared" si="5"/>
        <v>801.39926229508251</v>
      </c>
      <c r="O80" s="8">
        <f t="shared" si="6"/>
        <v>750.65000000000009</v>
      </c>
      <c r="P80" s="9">
        <f t="shared" si="7"/>
        <v>535.54389479127781</v>
      </c>
      <c r="Q80">
        <f t="shared" si="8"/>
        <v>286807.26324821124</v>
      </c>
      <c r="R80" s="4">
        <f t="shared" si="9"/>
        <v>1974.28</v>
      </c>
    </row>
    <row r="81" spans="1:18" x14ac:dyDescent="0.3">
      <c r="A81" s="1" t="s">
        <v>155</v>
      </c>
      <c r="B81" s="3" t="s">
        <v>306</v>
      </c>
      <c r="C81" s="1" t="s">
        <v>400</v>
      </c>
      <c r="D81" s="1" t="s">
        <v>402</v>
      </c>
      <c r="E81" s="1" t="s">
        <v>407</v>
      </c>
      <c r="F81" s="1" t="s">
        <v>411</v>
      </c>
      <c r="G81" s="4">
        <v>1159.55</v>
      </c>
      <c r="H81" s="5">
        <v>3</v>
      </c>
      <c r="I81" s="6">
        <v>0.1</v>
      </c>
      <c r="J81" s="4">
        <v>86.19</v>
      </c>
      <c r="K81">
        <f>YEAR(B81)</f>
        <v>2021</v>
      </c>
      <c r="L81" t="str">
        <f>TEXT(B81,"mmm")</f>
        <v>Sep</v>
      </c>
      <c r="M81" s="6">
        <f>J81/G81</f>
        <v>7.4330559268681817E-2</v>
      </c>
      <c r="N81" s="8">
        <f t="shared" si="5"/>
        <v>797.96636363636401</v>
      </c>
      <c r="O81" s="8">
        <f t="shared" si="6"/>
        <v>743.69</v>
      </c>
      <c r="P81" s="9">
        <f t="shared" si="7"/>
        <v>536.42110118668256</v>
      </c>
      <c r="Q81">
        <f t="shared" si="8"/>
        <v>287747.5977983331</v>
      </c>
      <c r="R81" s="4">
        <f t="shared" si="9"/>
        <v>1974.28</v>
      </c>
    </row>
    <row r="82" spans="1:18" x14ac:dyDescent="0.3">
      <c r="A82" s="1" t="s">
        <v>89</v>
      </c>
      <c r="B82" s="3" t="s">
        <v>289</v>
      </c>
      <c r="C82" s="1" t="s">
        <v>399</v>
      </c>
      <c r="D82" s="1" t="s">
        <v>403</v>
      </c>
      <c r="E82" s="1" t="s">
        <v>407</v>
      </c>
      <c r="F82" s="1" t="s">
        <v>411</v>
      </c>
      <c r="G82" s="4">
        <v>603.61</v>
      </c>
      <c r="H82" s="5">
        <v>5</v>
      </c>
      <c r="I82" s="6">
        <v>0.3</v>
      </c>
      <c r="J82" s="4">
        <v>86.17</v>
      </c>
      <c r="K82">
        <f>YEAR(B82)</f>
        <v>2023</v>
      </c>
      <c r="L82" t="str">
        <f>TEXT(B82,"mmm")</f>
        <v>Jul</v>
      </c>
      <c r="M82" s="6">
        <f>J82/G82</f>
        <v>0.14275774092543198</v>
      </c>
      <c r="N82" s="8">
        <f t="shared" si="5"/>
        <v>794.9531666666669</v>
      </c>
      <c r="O82" s="8">
        <f t="shared" si="6"/>
        <v>743.41000000000008</v>
      </c>
      <c r="P82" s="9">
        <f t="shared" si="7"/>
        <v>537.64096831909865</v>
      </c>
      <c r="Q82">
        <f t="shared" si="8"/>
        <v>289057.81081509806</v>
      </c>
      <c r="R82" s="4">
        <f t="shared" si="9"/>
        <v>1974.28</v>
      </c>
    </row>
    <row r="83" spans="1:18" x14ac:dyDescent="0.3">
      <c r="A83" s="1" t="s">
        <v>96</v>
      </c>
      <c r="B83" s="3" t="s">
        <v>296</v>
      </c>
      <c r="C83" s="1" t="s">
        <v>398</v>
      </c>
      <c r="D83" s="1" t="s">
        <v>402</v>
      </c>
      <c r="E83" s="1" t="s">
        <v>405</v>
      </c>
      <c r="F83" s="1" t="s">
        <v>410</v>
      </c>
      <c r="G83" s="4">
        <v>1476.72</v>
      </c>
      <c r="H83" s="5">
        <v>5</v>
      </c>
      <c r="I83" s="6">
        <v>0.2</v>
      </c>
      <c r="J83" s="4">
        <v>84.87</v>
      </c>
      <c r="K83">
        <f>YEAR(B83)</f>
        <v>2021</v>
      </c>
      <c r="L83" t="str">
        <f>TEXT(B83,"mmm")</f>
        <v>Mar</v>
      </c>
      <c r="M83" s="6">
        <f>J83/G83</f>
        <v>5.7471964895173089E-2</v>
      </c>
      <c r="N83" s="8">
        <f t="shared" si="5"/>
        <v>796.56109243697506</v>
      </c>
      <c r="O83" s="8">
        <f t="shared" si="6"/>
        <v>743.69</v>
      </c>
      <c r="P83" s="9">
        <f t="shared" si="7"/>
        <v>539.6244740554713</v>
      </c>
      <c r="Q83">
        <f t="shared" si="8"/>
        <v>291194.57299964398</v>
      </c>
      <c r="R83" s="4">
        <f t="shared" si="9"/>
        <v>1974.28</v>
      </c>
    </row>
    <row r="84" spans="1:18" x14ac:dyDescent="0.3">
      <c r="A84" s="1" t="s">
        <v>57</v>
      </c>
      <c r="B84" s="3" t="s">
        <v>257</v>
      </c>
      <c r="C84" s="1" t="s">
        <v>401</v>
      </c>
      <c r="D84" s="1" t="s">
        <v>402</v>
      </c>
      <c r="E84" s="1" t="s">
        <v>408</v>
      </c>
      <c r="F84" s="1" t="s">
        <v>411</v>
      </c>
      <c r="G84" s="4">
        <v>1004.88</v>
      </c>
      <c r="H84" s="5">
        <v>4</v>
      </c>
      <c r="I84" s="6">
        <v>0.1</v>
      </c>
      <c r="J84" s="4">
        <v>84.87</v>
      </c>
      <c r="K84">
        <f>YEAR(B84)</f>
        <v>2022</v>
      </c>
      <c r="L84" t="str">
        <f>TEXT(B84,"mmm")</f>
        <v>Feb</v>
      </c>
      <c r="M84" s="6">
        <f>J84/G84</f>
        <v>8.4457845712920948E-2</v>
      </c>
      <c r="N84" s="8">
        <f t="shared" si="5"/>
        <v>790.79703389830536</v>
      </c>
      <c r="O84" s="8">
        <f t="shared" si="6"/>
        <v>743.41000000000008</v>
      </c>
      <c r="P84" s="9">
        <f t="shared" si="7"/>
        <v>538.23407832047019</v>
      </c>
      <c r="Q84">
        <f t="shared" si="8"/>
        <v>289695.92306548601</v>
      </c>
      <c r="R84" s="4">
        <f t="shared" si="9"/>
        <v>1974.28</v>
      </c>
    </row>
    <row r="85" spans="1:18" x14ac:dyDescent="0.3">
      <c r="A85" s="1" t="s">
        <v>184</v>
      </c>
      <c r="B85" s="3" t="s">
        <v>377</v>
      </c>
      <c r="C85" s="1" t="s">
        <v>398</v>
      </c>
      <c r="D85" s="1" t="s">
        <v>403</v>
      </c>
      <c r="E85" s="1" t="s">
        <v>407</v>
      </c>
      <c r="F85" s="1" t="s">
        <v>409</v>
      </c>
      <c r="G85" s="4">
        <v>944.16</v>
      </c>
      <c r="H85" s="5">
        <v>6</v>
      </c>
      <c r="I85" s="6">
        <v>0</v>
      </c>
      <c r="J85" s="4">
        <v>83.25</v>
      </c>
      <c r="K85">
        <f>YEAR(B85)</f>
        <v>2022</v>
      </c>
      <c r="L85" t="str">
        <f>TEXT(B85,"mmm")</f>
        <v>Jan</v>
      </c>
      <c r="M85" s="6">
        <f>J85/G85</f>
        <v>8.817361464158617E-2</v>
      </c>
      <c r="N85" s="8">
        <f t="shared" si="5"/>
        <v>788.96726495726534</v>
      </c>
      <c r="O85" s="8">
        <f t="shared" si="6"/>
        <v>743.13</v>
      </c>
      <c r="P85" s="9">
        <f t="shared" si="7"/>
        <v>540.18036387543077</v>
      </c>
      <c r="Q85">
        <f t="shared" si="8"/>
        <v>291794.82551659283</v>
      </c>
      <c r="R85" s="4">
        <f t="shared" si="9"/>
        <v>1974.28</v>
      </c>
    </row>
    <row r="86" spans="1:18" x14ac:dyDescent="0.3">
      <c r="A86" s="1" t="s">
        <v>138</v>
      </c>
      <c r="B86" s="3" t="s">
        <v>336</v>
      </c>
      <c r="C86" s="1" t="s">
        <v>398</v>
      </c>
      <c r="D86" s="1" t="s">
        <v>403</v>
      </c>
      <c r="E86" s="1" t="s">
        <v>406</v>
      </c>
      <c r="F86" s="1" t="s">
        <v>410</v>
      </c>
      <c r="G86" s="4">
        <v>322.77999999999997</v>
      </c>
      <c r="H86" s="5">
        <v>3</v>
      </c>
      <c r="I86" s="6">
        <v>0.1</v>
      </c>
      <c r="J86" s="4">
        <v>79.5</v>
      </c>
      <c r="K86">
        <f>YEAR(B86)</f>
        <v>2023</v>
      </c>
      <c r="L86" t="str">
        <f>TEXT(B86,"mmm")</f>
        <v>Oct</v>
      </c>
      <c r="M86" s="6">
        <f>J86/G86</f>
        <v>0.24629778796703639</v>
      </c>
      <c r="N86" s="8">
        <f t="shared" si="5"/>
        <v>787.62939655172431</v>
      </c>
      <c r="O86" s="8">
        <f t="shared" si="6"/>
        <v>735.90499999999997</v>
      </c>
      <c r="P86" s="9">
        <f t="shared" si="7"/>
        <v>542.32917444680641</v>
      </c>
      <c r="Q86">
        <f t="shared" si="8"/>
        <v>294120.9334561546</v>
      </c>
      <c r="R86" s="4">
        <f t="shared" si="9"/>
        <v>1974.28</v>
      </c>
    </row>
    <row r="87" spans="1:18" x14ac:dyDescent="0.3">
      <c r="A87" s="1" t="s">
        <v>76</v>
      </c>
      <c r="B87" s="3" t="s">
        <v>276</v>
      </c>
      <c r="C87" s="1" t="s">
        <v>401</v>
      </c>
      <c r="D87" s="1" t="s">
        <v>404</v>
      </c>
      <c r="E87" s="1" t="s">
        <v>406</v>
      </c>
      <c r="F87" s="1" t="s">
        <v>409</v>
      </c>
      <c r="G87" s="4">
        <v>1440.82</v>
      </c>
      <c r="H87" s="5">
        <v>6</v>
      </c>
      <c r="I87" s="6">
        <v>0.2</v>
      </c>
      <c r="J87" s="4">
        <v>77.02</v>
      </c>
      <c r="K87">
        <f>YEAR(B87)</f>
        <v>2023</v>
      </c>
      <c r="L87" t="str">
        <f>TEXT(B87,"mmm")</f>
        <v>Apr</v>
      </c>
      <c r="M87" s="6">
        <f>J87/G87</f>
        <v>5.3455671076192722E-2</v>
      </c>
      <c r="N87" s="8">
        <f t="shared" si="5"/>
        <v>791.6715652173915</v>
      </c>
      <c r="O87" s="8">
        <f t="shared" si="6"/>
        <v>743.13</v>
      </c>
      <c r="P87" s="9">
        <f t="shared" si="7"/>
        <v>542.944727456642</v>
      </c>
      <c r="Q87">
        <f t="shared" si="8"/>
        <v>294788.97707296727</v>
      </c>
      <c r="R87" s="4">
        <f t="shared" si="9"/>
        <v>1974.28</v>
      </c>
    </row>
    <row r="88" spans="1:18" x14ac:dyDescent="0.3">
      <c r="A88" s="1" t="s">
        <v>158</v>
      </c>
      <c r="B88" s="3" t="s">
        <v>354</v>
      </c>
      <c r="C88" s="1" t="s">
        <v>401</v>
      </c>
      <c r="D88" s="1" t="s">
        <v>402</v>
      </c>
      <c r="E88" s="1" t="s">
        <v>406</v>
      </c>
      <c r="F88" s="1" t="s">
        <v>411</v>
      </c>
      <c r="G88" s="4">
        <v>919.89</v>
      </c>
      <c r="H88" s="5">
        <v>10</v>
      </c>
      <c r="I88" s="6">
        <v>0.3</v>
      </c>
      <c r="J88" s="4">
        <v>76.69</v>
      </c>
      <c r="K88">
        <f>YEAR(B88)</f>
        <v>2022</v>
      </c>
      <c r="L88" t="str">
        <f>TEXT(B88,"mmm")</f>
        <v>Aug</v>
      </c>
      <c r="M88" s="6">
        <f>J88/G88</f>
        <v>8.3368663644566202E-2</v>
      </c>
      <c r="N88" s="8">
        <f t="shared" si="5"/>
        <v>785.97728070175469</v>
      </c>
      <c r="O88" s="8">
        <f t="shared" si="6"/>
        <v>735.90499999999997</v>
      </c>
      <c r="P88" s="9">
        <f t="shared" si="7"/>
        <v>541.88178559352446</v>
      </c>
      <c r="Q88">
        <f t="shared" si="8"/>
        <v>293635.86955802643</v>
      </c>
      <c r="R88" s="4">
        <f t="shared" si="9"/>
        <v>1974.28</v>
      </c>
    </row>
    <row r="89" spans="1:18" x14ac:dyDescent="0.3">
      <c r="A89" s="1" t="s">
        <v>16</v>
      </c>
      <c r="B89" s="3" t="s">
        <v>216</v>
      </c>
      <c r="C89" s="1" t="s">
        <v>400</v>
      </c>
      <c r="D89" s="1" t="s">
        <v>402</v>
      </c>
      <c r="E89" s="1" t="s">
        <v>408</v>
      </c>
      <c r="F89" s="1" t="s">
        <v>411</v>
      </c>
      <c r="G89" s="4">
        <v>695.8</v>
      </c>
      <c r="H89" s="5">
        <v>8</v>
      </c>
      <c r="I89" s="6">
        <v>0</v>
      </c>
      <c r="J89" s="4">
        <v>76.459999999999994</v>
      </c>
      <c r="K89">
        <f>YEAR(B89)</f>
        <v>2022</v>
      </c>
      <c r="L89" t="str">
        <f>TEXT(B89,"mmm")</f>
        <v>Nov</v>
      </c>
      <c r="M89" s="6">
        <f>J89/G89</f>
        <v>0.10988789882150043</v>
      </c>
      <c r="N89" s="8">
        <f t="shared" si="5"/>
        <v>784.79221238938078</v>
      </c>
      <c r="O89" s="8">
        <f t="shared" si="6"/>
        <v>728.68</v>
      </c>
      <c r="P89" s="9">
        <f t="shared" si="7"/>
        <v>544.14712056662972</v>
      </c>
      <c r="Q89">
        <f t="shared" si="8"/>
        <v>296096.08882095426</v>
      </c>
      <c r="R89" s="4">
        <f t="shared" si="9"/>
        <v>1974.28</v>
      </c>
    </row>
    <row r="90" spans="1:18" x14ac:dyDescent="0.3">
      <c r="A90" s="1" t="s">
        <v>107</v>
      </c>
      <c r="B90" s="3" t="s">
        <v>306</v>
      </c>
      <c r="C90" s="1" t="s">
        <v>401</v>
      </c>
      <c r="D90" s="1" t="s">
        <v>404</v>
      </c>
      <c r="E90" s="1" t="s">
        <v>405</v>
      </c>
      <c r="F90" s="1" t="s">
        <v>409</v>
      </c>
      <c r="G90" s="4">
        <v>788.95</v>
      </c>
      <c r="H90" s="5">
        <v>3</v>
      </c>
      <c r="I90" s="6">
        <v>0</v>
      </c>
      <c r="J90" s="4">
        <v>75.37</v>
      </c>
      <c r="K90">
        <f>YEAR(B90)</f>
        <v>2021</v>
      </c>
      <c r="L90" t="str">
        <f>TEXT(B90,"mmm")</f>
        <v>Sep</v>
      </c>
      <c r="M90" s="6">
        <f>J90/G90</f>
        <v>9.5532036250712979E-2</v>
      </c>
      <c r="N90" s="8">
        <f t="shared" si="5"/>
        <v>785.58678571428595</v>
      </c>
      <c r="O90" s="8">
        <f t="shared" si="6"/>
        <v>735.90499999999997</v>
      </c>
      <c r="P90" s="9">
        <f t="shared" si="7"/>
        <v>546.52688519910055</v>
      </c>
      <c r="Q90">
        <f t="shared" si="8"/>
        <v>298691.63624543085</v>
      </c>
      <c r="R90" s="4">
        <f t="shared" si="9"/>
        <v>1974.28</v>
      </c>
    </row>
    <row r="91" spans="1:18" x14ac:dyDescent="0.3">
      <c r="A91" s="1" t="s">
        <v>69</v>
      </c>
      <c r="B91" s="3" t="s">
        <v>269</v>
      </c>
      <c r="C91" s="1" t="s">
        <v>398</v>
      </c>
      <c r="D91" s="1" t="s">
        <v>403</v>
      </c>
      <c r="E91" s="1" t="s">
        <v>407</v>
      </c>
      <c r="F91" s="1" t="s">
        <v>411</v>
      </c>
      <c r="G91" s="4">
        <v>650.75</v>
      </c>
      <c r="H91" s="5">
        <v>9</v>
      </c>
      <c r="I91" s="6">
        <v>0.1</v>
      </c>
      <c r="J91" s="4">
        <v>74.709999999999994</v>
      </c>
      <c r="K91">
        <f>YEAR(B91)</f>
        <v>2021</v>
      </c>
      <c r="L91" t="str">
        <f>TEXT(B91,"mmm")</f>
        <v>May</v>
      </c>
      <c r="M91" s="6">
        <f>J91/G91</f>
        <v>0.11480599308490202</v>
      </c>
      <c r="N91" s="8">
        <f t="shared" si="5"/>
        <v>785.55648648648673</v>
      </c>
      <c r="O91" s="8">
        <f t="shared" si="6"/>
        <v>728.68</v>
      </c>
      <c r="P91" s="9">
        <f t="shared" si="7"/>
        <v>549.00538339908746</v>
      </c>
      <c r="Q91">
        <f t="shared" si="8"/>
        <v>301406.91100117902</v>
      </c>
      <c r="R91" s="4">
        <f t="shared" si="9"/>
        <v>1974.28</v>
      </c>
    </row>
    <row r="92" spans="1:18" x14ac:dyDescent="0.3">
      <c r="A92" s="1" t="s">
        <v>204</v>
      </c>
      <c r="B92" s="3" t="s">
        <v>394</v>
      </c>
      <c r="C92" s="1" t="s">
        <v>398</v>
      </c>
      <c r="D92" s="1" t="s">
        <v>403</v>
      </c>
      <c r="E92" s="1" t="s">
        <v>405</v>
      </c>
      <c r="F92" s="1" t="s">
        <v>411</v>
      </c>
      <c r="G92" s="4">
        <v>599.01</v>
      </c>
      <c r="H92" s="5">
        <v>6</v>
      </c>
      <c r="I92" s="6">
        <v>0.1</v>
      </c>
      <c r="J92" s="4">
        <v>69.42</v>
      </c>
      <c r="K92">
        <f>YEAR(B92)</f>
        <v>2023</v>
      </c>
      <c r="L92" t="str">
        <f>TEXT(B92,"mmm")</f>
        <v>Jan</v>
      </c>
      <c r="M92" s="6">
        <f>J92/G92</f>
        <v>0.11589122051384786</v>
      </c>
      <c r="N92" s="8">
        <f t="shared" si="5"/>
        <v>786.78200000000027</v>
      </c>
      <c r="O92" s="8">
        <f t="shared" si="6"/>
        <v>735.90499999999997</v>
      </c>
      <c r="P92" s="9">
        <f t="shared" si="7"/>
        <v>551.36546275986802</v>
      </c>
      <c r="Q92">
        <f t="shared" si="8"/>
        <v>304003.87352440337</v>
      </c>
      <c r="R92" s="4">
        <f t="shared" si="9"/>
        <v>1974.28</v>
      </c>
    </row>
    <row r="93" spans="1:18" x14ac:dyDescent="0.3">
      <c r="A93" s="1" t="s">
        <v>126</v>
      </c>
      <c r="B93" s="3" t="s">
        <v>324</v>
      </c>
      <c r="C93" s="1" t="s">
        <v>401</v>
      </c>
      <c r="D93" s="1" t="s">
        <v>403</v>
      </c>
      <c r="E93" s="1" t="s">
        <v>406</v>
      </c>
      <c r="F93" s="1" t="s">
        <v>409</v>
      </c>
      <c r="G93" s="4">
        <v>383.27</v>
      </c>
      <c r="H93" s="5">
        <v>6</v>
      </c>
      <c r="I93" s="6">
        <v>0.2</v>
      </c>
      <c r="J93" s="4">
        <v>66.739999999999995</v>
      </c>
      <c r="K93">
        <f>YEAR(B93)</f>
        <v>2020</v>
      </c>
      <c r="L93" t="str">
        <f>TEXT(B93,"mmm")</f>
        <v>Feb</v>
      </c>
      <c r="M93" s="6">
        <f>J93/G93</f>
        <v>0.17413311764552403</v>
      </c>
      <c r="N93" s="8">
        <f t="shared" si="5"/>
        <v>788.50467889908282</v>
      </c>
      <c r="O93" s="8">
        <f t="shared" si="6"/>
        <v>743.13</v>
      </c>
      <c r="P93" s="9">
        <f t="shared" si="7"/>
        <v>553.61472446259404</v>
      </c>
      <c r="Q93">
        <f t="shared" si="8"/>
        <v>306489.2631417939</v>
      </c>
      <c r="R93" s="4">
        <f t="shared" si="9"/>
        <v>1974.28</v>
      </c>
    </row>
    <row r="94" spans="1:18" x14ac:dyDescent="0.3">
      <c r="A94" s="1" t="s">
        <v>164</v>
      </c>
      <c r="B94" s="3" t="s">
        <v>360</v>
      </c>
      <c r="C94" s="1" t="s">
        <v>399</v>
      </c>
      <c r="D94" s="1" t="s">
        <v>404</v>
      </c>
      <c r="E94" s="1" t="s">
        <v>405</v>
      </c>
      <c r="F94" s="1" t="s">
        <v>409</v>
      </c>
      <c r="G94" s="4">
        <v>459.73</v>
      </c>
      <c r="H94" s="5">
        <v>4</v>
      </c>
      <c r="I94" s="6">
        <v>0.1</v>
      </c>
      <c r="J94" s="4">
        <v>66.45</v>
      </c>
      <c r="K94">
        <f>YEAR(B94)</f>
        <v>2022</v>
      </c>
      <c r="L94" t="str">
        <f>TEXT(B94,"mmm")</f>
        <v>Mar</v>
      </c>
      <c r="M94" s="6">
        <f>J94/G94</f>
        <v>0.14454136123376765</v>
      </c>
      <c r="N94" s="8">
        <f t="shared" si="5"/>
        <v>792.25685185185205</v>
      </c>
      <c r="O94" s="8">
        <f t="shared" si="6"/>
        <v>743.41000000000008</v>
      </c>
      <c r="P94" s="9">
        <f t="shared" si="7"/>
        <v>554.80151173012655</v>
      </c>
      <c r="Q94">
        <f t="shared" si="8"/>
        <v>307804.7174180338</v>
      </c>
      <c r="R94" s="4">
        <f t="shared" si="9"/>
        <v>1974.28</v>
      </c>
    </row>
    <row r="95" spans="1:18" x14ac:dyDescent="0.3">
      <c r="A95" s="1" t="s">
        <v>162</v>
      </c>
      <c r="B95" s="3" t="s">
        <v>358</v>
      </c>
      <c r="C95" s="1" t="s">
        <v>400</v>
      </c>
      <c r="D95" s="1" t="s">
        <v>402</v>
      </c>
      <c r="E95" s="1" t="s">
        <v>406</v>
      </c>
      <c r="F95" s="1" t="s">
        <v>409</v>
      </c>
      <c r="G95" s="4">
        <v>1068.3800000000001</v>
      </c>
      <c r="H95" s="5">
        <v>1</v>
      </c>
      <c r="I95" s="6">
        <v>0</v>
      </c>
      <c r="J95" s="4">
        <v>64.92</v>
      </c>
      <c r="K95">
        <f>YEAR(B95)</f>
        <v>2021</v>
      </c>
      <c r="L95" t="str">
        <f>TEXT(B95,"mmm")</f>
        <v>Aug</v>
      </c>
      <c r="M95" s="6">
        <f>J95/G95</f>
        <v>6.0764896385181295E-2</v>
      </c>
      <c r="N95" s="8">
        <f t="shared" si="5"/>
        <v>795.36457943925257</v>
      </c>
      <c r="O95" s="8">
        <f t="shared" si="6"/>
        <v>743.69</v>
      </c>
      <c r="P95" s="9">
        <f t="shared" si="7"/>
        <v>556.46710097583809</v>
      </c>
      <c r="Q95">
        <f t="shared" si="8"/>
        <v>309655.63446845353</v>
      </c>
      <c r="R95" s="4">
        <f t="shared" si="9"/>
        <v>1974.28</v>
      </c>
    </row>
    <row r="96" spans="1:18" x14ac:dyDescent="0.3">
      <c r="A96" s="1" t="s">
        <v>206</v>
      </c>
      <c r="B96" s="3" t="s">
        <v>396</v>
      </c>
      <c r="C96" s="1" t="s">
        <v>400</v>
      </c>
      <c r="D96" s="1" t="s">
        <v>404</v>
      </c>
      <c r="E96" s="1" t="s">
        <v>408</v>
      </c>
      <c r="F96" s="1" t="s">
        <v>409</v>
      </c>
      <c r="G96" s="4">
        <v>527.41</v>
      </c>
      <c r="H96" s="5">
        <v>7</v>
      </c>
      <c r="I96" s="6">
        <v>0.3</v>
      </c>
      <c r="J96" s="4">
        <v>63.31</v>
      </c>
      <c r="K96">
        <f>YEAR(B96)</f>
        <v>2020</v>
      </c>
      <c r="L96" t="str">
        <f>TEXT(B96,"mmm")</f>
        <v>Mar</v>
      </c>
      <c r="M96" s="6">
        <f>J96/G96</f>
        <v>0.12003943800838059</v>
      </c>
      <c r="N96" s="8">
        <f t="shared" si="5"/>
        <v>792.78896226415111</v>
      </c>
      <c r="O96" s="8">
        <f t="shared" si="6"/>
        <v>743.41000000000008</v>
      </c>
      <c r="P96" s="9">
        <f t="shared" si="7"/>
        <v>558.4694786440956</v>
      </c>
      <c r="Q96">
        <f t="shared" si="8"/>
        <v>311888.158577008</v>
      </c>
      <c r="R96" s="4">
        <f t="shared" si="9"/>
        <v>1974.28</v>
      </c>
    </row>
    <row r="97" spans="1:18" x14ac:dyDescent="0.3">
      <c r="A97" s="1" t="s">
        <v>61</v>
      </c>
      <c r="B97" s="3" t="s">
        <v>261</v>
      </c>
      <c r="C97" s="1" t="s">
        <v>398</v>
      </c>
      <c r="D97" s="1" t="s">
        <v>402</v>
      </c>
      <c r="E97" s="1" t="s">
        <v>405</v>
      </c>
      <c r="F97" s="1" t="s">
        <v>410</v>
      </c>
      <c r="G97" s="4">
        <v>1149.3</v>
      </c>
      <c r="H97" s="5">
        <v>7</v>
      </c>
      <c r="I97" s="6">
        <v>0</v>
      </c>
      <c r="J97" s="4">
        <v>62.78</v>
      </c>
      <c r="K97">
        <f>YEAR(B97)</f>
        <v>2022</v>
      </c>
      <c r="L97" t="str">
        <f>TEXT(B97,"mmm")</f>
        <v>Nov</v>
      </c>
      <c r="M97" s="6">
        <f>J97/G97</f>
        <v>5.4624554076394327E-2</v>
      </c>
      <c r="N97" s="8">
        <f t="shared" si="5"/>
        <v>795.31638095238111</v>
      </c>
      <c r="O97" s="8">
        <f t="shared" si="6"/>
        <v>743.69</v>
      </c>
      <c r="P97" s="9">
        <f t="shared" si="7"/>
        <v>560.53854541538169</v>
      </c>
      <c r="Q97">
        <f t="shared" si="8"/>
        <v>314203.46089639195</v>
      </c>
      <c r="R97" s="4">
        <f t="shared" si="9"/>
        <v>1974.28</v>
      </c>
    </row>
    <row r="98" spans="1:18" x14ac:dyDescent="0.3">
      <c r="A98" s="1" t="s">
        <v>115</v>
      </c>
      <c r="B98" s="3" t="s">
        <v>313</v>
      </c>
      <c r="C98" s="1" t="s">
        <v>400</v>
      </c>
      <c r="D98" s="1" t="s">
        <v>403</v>
      </c>
      <c r="E98" s="1" t="s">
        <v>408</v>
      </c>
      <c r="F98" s="1" t="s">
        <v>409</v>
      </c>
      <c r="G98" s="4">
        <v>384.01</v>
      </c>
      <c r="H98" s="5">
        <v>10</v>
      </c>
      <c r="I98" s="6">
        <v>0</v>
      </c>
      <c r="J98" s="4">
        <v>61.96</v>
      </c>
      <c r="K98">
        <f>YEAR(B98)</f>
        <v>2023</v>
      </c>
      <c r="L98" t="str">
        <f>TEXT(B98,"mmm")</f>
        <v>Jan</v>
      </c>
      <c r="M98" s="6">
        <f>J98/G98</f>
        <v>0.16134996484466552</v>
      </c>
      <c r="N98" s="8">
        <f t="shared" si="5"/>
        <v>791.91269230769228</v>
      </c>
      <c r="O98" s="8">
        <f t="shared" si="6"/>
        <v>743.41000000000008</v>
      </c>
      <c r="P98" s="9">
        <f t="shared" si="7"/>
        <v>562.16166248113643</v>
      </c>
      <c r="Q98">
        <f t="shared" si="8"/>
        <v>316025.73476355511</v>
      </c>
      <c r="R98" s="4">
        <f t="shared" si="9"/>
        <v>1974.28</v>
      </c>
    </row>
    <row r="99" spans="1:18" x14ac:dyDescent="0.3">
      <c r="A99" s="1" t="s">
        <v>108</v>
      </c>
      <c r="B99" s="3" t="s">
        <v>307</v>
      </c>
      <c r="C99" s="1" t="s">
        <v>399</v>
      </c>
      <c r="D99" s="1" t="s">
        <v>402</v>
      </c>
      <c r="E99" s="1" t="s">
        <v>406</v>
      </c>
      <c r="F99" s="1" t="s">
        <v>410</v>
      </c>
      <c r="G99" s="4">
        <v>1375.52</v>
      </c>
      <c r="H99" s="5">
        <v>10</v>
      </c>
      <c r="I99" s="6">
        <v>0.3</v>
      </c>
      <c r="J99" s="4">
        <v>61.8</v>
      </c>
      <c r="K99">
        <f>YEAR(B99)</f>
        <v>2022</v>
      </c>
      <c r="L99" t="str">
        <f>TEXT(B99,"mmm")</f>
        <v>Nov</v>
      </c>
      <c r="M99" s="6">
        <f>J99/G99</f>
        <v>4.4928463417471212E-2</v>
      </c>
      <c r="N99" s="8">
        <f t="shared" si="5"/>
        <v>795.87291262135921</v>
      </c>
      <c r="O99" s="8">
        <f t="shared" si="6"/>
        <v>743.69</v>
      </c>
      <c r="P99" s="9">
        <f t="shared" si="7"/>
        <v>563.45094511087257</v>
      </c>
      <c r="Q99">
        <f t="shared" si="8"/>
        <v>317476.96754633554</v>
      </c>
      <c r="R99" s="4">
        <f t="shared" si="9"/>
        <v>1974.28</v>
      </c>
    </row>
    <row r="100" spans="1:18" x14ac:dyDescent="0.3">
      <c r="A100" s="1" t="s">
        <v>133</v>
      </c>
      <c r="B100" s="3" t="s">
        <v>331</v>
      </c>
      <c r="C100" s="1" t="s">
        <v>399</v>
      </c>
      <c r="D100" s="1" t="s">
        <v>403</v>
      </c>
      <c r="E100" s="1" t="s">
        <v>406</v>
      </c>
      <c r="F100" s="1" t="s">
        <v>410</v>
      </c>
      <c r="G100" s="4">
        <v>1052.6500000000001</v>
      </c>
      <c r="H100" s="5">
        <v>6</v>
      </c>
      <c r="I100" s="6">
        <v>0.3</v>
      </c>
      <c r="J100" s="4">
        <v>58.67</v>
      </c>
      <c r="K100">
        <f>YEAR(B100)</f>
        <v>2023</v>
      </c>
      <c r="L100" t="str">
        <f>TEXT(B100,"mmm")</f>
        <v>Aug</v>
      </c>
      <c r="M100" s="6">
        <f>J100/G100</f>
        <v>5.5735524628319003E-2</v>
      </c>
      <c r="N100" s="8">
        <f t="shared" si="5"/>
        <v>790.19009803921563</v>
      </c>
      <c r="O100" s="8">
        <f t="shared" si="6"/>
        <v>743.41000000000008</v>
      </c>
      <c r="P100" s="9">
        <f t="shared" si="7"/>
        <v>563.25930856237846</v>
      </c>
      <c r="Q100">
        <f t="shared" si="8"/>
        <v>317261.04868216871</v>
      </c>
      <c r="R100" s="4">
        <f t="shared" si="9"/>
        <v>1974.28</v>
      </c>
    </row>
    <row r="101" spans="1:18" x14ac:dyDescent="0.3">
      <c r="A101" s="1" t="s">
        <v>31</v>
      </c>
      <c r="B101" s="3" t="s">
        <v>231</v>
      </c>
      <c r="C101" s="1" t="s">
        <v>401</v>
      </c>
      <c r="D101" s="1" t="s">
        <v>402</v>
      </c>
      <c r="E101" s="1" t="s">
        <v>408</v>
      </c>
      <c r="F101" s="1" t="s">
        <v>410</v>
      </c>
      <c r="G101" s="4">
        <v>951.98</v>
      </c>
      <c r="H101" s="5">
        <v>6</v>
      </c>
      <c r="I101" s="6">
        <v>0.1</v>
      </c>
      <c r="J101" s="4">
        <v>57.96</v>
      </c>
      <c r="K101">
        <f>YEAR(B101)</f>
        <v>2021</v>
      </c>
      <c r="L101" t="str">
        <f>TEXT(B101,"mmm")</f>
        <v>Jul</v>
      </c>
      <c r="M101" s="6">
        <f>J101/G101</f>
        <v>6.0883632009075823E-2</v>
      </c>
      <c r="N101" s="8">
        <f t="shared" si="5"/>
        <v>787.59148514851495</v>
      </c>
      <c r="O101" s="8">
        <f t="shared" si="6"/>
        <v>743.13</v>
      </c>
      <c r="P101" s="9">
        <f t="shared" si="7"/>
        <v>565.45378843082506</v>
      </c>
      <c r="Q101">
        <f t="shared" si="8"/>
        <v>319737.98685077229</v>
      </c>
      <c r="R101" s="4">
        <f t="shared" si="9"/>
        <v>1974.28</v>
      </c>
    </row>
    <row r="102" spans="1:18" x14ac:dyDescent="0.3">
      <c r="A102" s="1" t="s">
        <v>105</v>
      </c>
      <c r="B102" s="3" t="s">
        <v>304</v>
      </c>
      <c r="C102" s="1" t="s">
        <v>401</v>
      </c>
      <c r="D102" s="1" t="s">
        <v>404</v>
      </c>
      <c r="E102" s="1" t="s">
        <v>408</v>
      </c>
      <c r="F102" s="1" t="s">
        <v>410</v>
      </c>
      <c r="G102" s="4">
        <v>828.91</v>
      </c>
      <c r="H102" s="5">
        <v>2</v>
      </c>
      <c r="I102" s="6">
        <v>0.3</v>
      </c>
      <c r="J102" s="4">
        <v>55.63</v>
      </c>
      <c r="K102">
        <f>YEAR(B102)</f>
        <v>2020</v>
      </c>
      <c r="L102" t="str">
        <f>TEXT(B102,"mmm")</f>
        <v>Apr</v>
      </c>
      <c r="M102" s="6">
        <f>J102/G102</f>
        <v>6.7112231726001628E-2</v>
      </c>
      <c r="N102" s="8">
        <f t="shared" si="5"/>
        <v>785.94760000000008</v>
      </c>
      <c r="O102" s="8">
        <f t="shared" si="6"/>
        <v>735.90499999999997</v>
      </c>
      <c r="P102" s="9">
        <f t="shared" si="7"/>
        <v>568.05982813222784</v>
      </c>
      <c r="Q102">
        <f t="shared" si="8"/>
        <v>322691.96833761618</v>
      </c>
      <c r="R102" s="4">
        <f t="shared" si="9"/>
        <v>1974.28</v>
      </c>
    </row>
    <row r="103" spans="1:18" x14ac:dyDescent="0.3">
      <c r="A103" s="1" t="s">
        <v>131</v>
      </c>
      <c r="B103" s="3" t="s">
        <v>329</v>
      </c>
      <c r="C103" s="1" t="s">
        <v>400</v>
      </c>
      <c r="D103" s="1" t="s">
        <v>403</v>
      </c>
      <c r="E103" s="1" t="s">
        <v>408</v>
      </c>
      <c r="F103" s="1" t="s">
        <v>409</v>
      </c>
      <c r="G103" s="4">
        <v>1050.8699999999999</v>
      </c>
      <c r="H103" s="5">
        <v>2</v>
      </c>
      <c r="I103" s="6">
        <v>0.2</v>
      </c>
      <c r="J103" s="4">
        <v>55.22</v>
      </c>
      <c r="K103">
        <f>YEAR(B103)</f>
        <v>2021</v>
      </c>
      <c r="L103" t="str">
        <f>TEXT(B103,"mmm")</f>
        <v>Jan</v>
      </c>
      <c r="M103" s="6">
        <f>J103/G103</f>
        <v>5.2546937299570835E-2</v>
      </c>
      <c r="N103" s="8">
        <f t="shared" si="5"/>
        <v>785.51363636363624</v>
      </c>
      <c r="O103" s="8">
        <f t="shared" si="6"/>
        <v>728.68</v>
      </c>
      <c r="P103" s="9">
        <f t="shared" si="7"/>
        <v>570.93407580312874</v>
      </c>
      <c r="Q103">
        <f t="shared" si="8"/>
        <v>325965.71891317272</v>
      </c>
      <c r="R103" s="4">
        <f t="shared" si="9"/>
        <v>1974.28</v>
      </c>
    </row>
    <row r="104" spans="1:18" x14ac:dyDescent="0.3">
      <c r="A104" s="1" t="s">
        <v>119</v>
      </c>
      <c r="B104" s="3" t="s">
        <v>317</v>
      </c>
      <c r="C104" s="1" t="s">
        <v>398</v>
      </c>
      <c r="D104" s="1" t="s">
        <v>404</v>
      </c>
      <c r="E104" s="1" t="s">
        <v>405</v>
      </c>
      <c r="F104" s="1" t="s">
        <v>409</v>
      </c>
      <c r="G104" s="4">
        <v>832.41</v>
      </c>
      <c r="H104" s="5">
        <v>4</v>
      </c>
      <c r="I104" s="6">
        <v>0.1</v>
      </c>
      <c r="J104" s="4">
        <v>54</v>
      </c>
      <c r="K104">
        <f>YEAR(B104)</f>
        <v>2022</v>
      </c>
      <c r="L104" t="str">
        <f>TEXT(B104,"mmm")</f>
        <v>Jul</v>
      </c>
      <c r="M104" s="6">
        <f>J104/G104</f>
        <v>6.4871878040869288E-2</v>
      </c>
      <c r="N104" s="8">
        <f t="shared" si="5"/>
        <v>782.80591836734709</v>
      </c>
      <c r="O104" s="8">
        <f t="shared" si="6"/>
        <v>725.57999999999993</v>
      </c>
      <c r="P104" s="9">
        <f t="shared" si="7"/>
        <v>573.23020279605066</v>
      </c>
      <c r="Q104">
        <f t="shared" si="8"/>
        <v>328592.86539760139</v>
      </c>
      <c r="R104" s="4">
        <f t="shared" si="9"/>
        <v>1974.28</v>
      </c>
    </row>
    <row r="105" spans="1:18" x14ac:dyDescent="0.3">
      <c r="A105" s="1" t="s">
        <v>70</v>
      </c>
      <c r="B105" s="3" t="s">
        <v>270</v>
      </c>
      <c r="C105" s="1" t="s">
        <v>401</v>
      </c>
      <c r="D105" s="1" t="s">
        <v>402</v>
      </c>
      <c r="E105" s="1" t="s">
        <v>408</v>
      </c>
      <c r="F105" s="1" t="s">
        <v>410</v>
      </c>
      <c r="G105" s="4">
        <v>476.77</v>
      </c>
      <c r="H105" s="5">
        <v>3</v>
      </c>
      <c r="I105" s="6">
        <v>0</v>
      </c>
      <c r="J105" s="4">
        <v>52.8</v>
      </c>
      <c r="K105">
        <f>YEAR(B105)</f>
        <v>2020</v>
      </c>
      <c r="L105" t="str">
        <f>TEXT(B105,"mmm")</f>
        <v>Aug</v>
      </c>
      <c r="M105" s="6">
        <f>J105/G105</f>
        <v>0.11074522306353168</v>
      </c>
      <c r="N105" s="8">
        <f t="shared" si="5"/>
        <v>782.29453608247411</v>
      </c>
      <c r="O105" s="8">
        <f t="shared" si="6"/>
        <v>722.48</v>
      </c>
      <c r="P105" s="9">
        <f t="shared" si="7"/>
        <v>576.18557134402738</v>
      </c>
      <c r="Q105">
        <f t="shared" si="8"/>
        <v>331989.81262504327</v>
      </c>
      <c r="R105" s="4">
        <f t="shared" si="9"/>
        <v>1974.28</v>
      </c>
    </row>
    <row r="106" spans="1:18" x14ac:dyDescent="0.3">
      <c r="A106" s="1" t="s">
        <v>159</v>
      </c>
      <c r="B106" s="3" t="s">
        <v>355</v>
      </c>
      <c r="C106" s="1" t="s">
        <v>398</v>
      </c>
      <c r="D106" s="1" t="s">
        <v>403</v>
      </c>
      <c r="E106" s="1" t="s">
        <v>405</v>
      </c>
      <c r="F106" s="1" t="s">
        <v>410</v>
      </c>
      <c r="G106" s="4">
        <v>1644.47</v>
      </c>
      <c r="H106" s="5">
        <v>9</v>
      </c>
      <c r="I106" s="6">
        <v>0</v>
      </c>
      <c r="J106" s="4">
        <v>52.6</v>
      </c>
      <c r="K106">
        <f>YEAR(B106)</f>
        <v>2022</v>
      </c>
      <c r="L106" t="str">
        <f>TEXT(B106,"mmm")</f>
        <v>Feb</v>
      </c>
      <c r="M106" s="6">
        <f>J106/G106</f>
        <v>3.1985989406921378E-2</v>
      </c>
      <c r="N106" s="8">
        <f t="shared" si="5"/>
        <v>785.47708333333333</v>
      </c>
      <c r="O106" s="8">
        <f t="shared" si="6"/>
        <v>725.57999999999993</v>
      </c>
      <c r="P106" s="9">
        <f t="shared" si="7"/>
        <v>578.35250973035784</v>
      </c>
      <c r="Q106">
        <f t="shared" si="8"/>
        <v>334491.62551140372</v>
      </c>
      <c r="R106" s="4">
        <f t="shared" si="9"/>
        <v>1974.28</v>
      </c>
    </row>
    <row r="107" spans="1:18" x14ac:dyDescent="0.3">
      <c r="A107" s="1" t="s">
        <v>43</v>
      </c>
      <c r="B107" s="3" t="s">
        <v>243</v>
      </c>
      <c r="C107" s="1" t="s">
        <v>401</v>
      </c>
      <c r="D107" s="1" t="s">
        <v>404</v>
      </c>
      <c r="E107" s="1" t="s">
        <v>408</v>
      </c>
      <c r="F107" s="1" t="s">
        <v>410</v>
      </c>
      <c r="G107" s="4">
        <v>1370.96</v>
      </c>
      <c r="H107" s="5">
        <v>2</v>
      </c>
      <c r="I107" s="6">
        <v>0.2</v>
      </c>
      <c r="J107" s="4">
        <v>51.48</v>
      </c>
      <c r="K107">
        <f>YEAR(B107)</f>
        <v>2021</v>
      </c>
      <c r="L107" t="str">
        <f>TEXT(B107,"mmm")</f>
        <v>Nov</v>
      </c>
      <c r="M107" s="6">
        <f>J107/G107</f>
        <v>3.7550329695979455E-2</v>
      </c>
      <c r="N107" s="8">
        <f t="shared" si="5"/>
        <v>776.43505263157897</v>
      </c>
      <c r="O107" s="8">
        <f t="shared" si="6"/>
        <v>722.48</v>
      </c>
      <c r="P107" s="9">
        <f t="shared" si="7"/>
        <v>574.55874421783733</v>
      </c>
      <c r="Q107">
        <f t="shared" si="8"/>
        <v>330117.75055717822</v>
      </c>
      <c r="R107" s="4">
        <f t="shared" si="9"/>
        <v>1974.28</v>
      </c>
    </row>
    <row r="108" spans="1:18" x14ac:dyDescent="0.3">
      <c r="A108" s="1" t="s">
        <v>37</v>
      </c>
      <c r="B108" s="3" t="s">
        <v>237</v>
      </c>
      <c r="C108" s="1" t="s">
        <v>398</v>
      </c>
      <c r="D108" s="1" t="s">
        <v>403</v>
      </c>
      <c r="E108" s="1" t="s">
        <v>406</v>
      </c>
      <c r="F108" s="1" t="s">
        <v>409</v>
      </c>
      <c r="G108" s="4">
        <v>224.54</v>
      </c>
      <c r="H108" s="5">
        <v>7</v>
      </c>
      <c r="I108" s="6">
        <v>0.3</v>
      </c>
      <c r="J108" s="4">
        <v>51.04</v>
      </c>
      <c r="K108">
        <f>YEAR(B108)</f>
        <v>2021</v>
      </c>
      <c r="L108" t="str">
        <f>TEXT(B108,"mmm")</f>
        <v>Jun</v>
      </c>
      <c r="M108" s="6">
        <f>J108/G108</f>
        <v>0.22730916540482765</v>
      </c>
      <c r="N108" s="8">
        <f t="shared" si="5"/>
        <v>770.11031914893624</v>
      </c>
      <c r="O108" s="8">
        <f t="shared" si="6"/>
        <v>709.94</v>
      </c>
      <c r="P108" s="9">
        <f t="shared" si="7"/>
        <v>574.30508197065126</v>
      </c>
      <c r="Q108">
        <f t="shared" si="8"/>
        <v>329826.32717731642</v>
      </c>
      <c r="R108" s="4">
        <f t="shared" si="9"/>
        <v>1974.28</v>
      </c>
    </row>
    <row r="109" spans="1:18" x14ac:dyDescent="0.3">
      <c r="A109" s="1" t="s">
        <v>80</v>
      </c>
      <c r="B109" s="3" t="s">
        <v>280</v>
      </c>
      <c r="C109" s="1" t="s">
        <v>400</v>
      </c>
      <c r="D109" s="1" t="s">
        <v>402</v>
      </c>
      <c r="E109" s="1" t="s">
        <v>408</v>
      </c>
      <c r="F109" s="1" t="s">
        <v>410</v>
      </c>
      <c r="G109" s="4">
        <v>977.66</v>
      </c>
      <c r="H109" s="5">
        <v>9</v>
      </c>
      <c r="I109" s="6">
        <v>0.1</v>
      </c>
      <c r="J109" s="4">
        <v>49.92</v>
      </c>
      <c r="K109">
        <f>YEAR(B109)</f>
        <v>2022</v>
      </c>
      <c r="L109" t="str">
        <f>TEXT(B109,"mmm")</f>
        <v>Oct</v>
      </c>
      <c r="M109" s="6">
        <f>J109/G109</f>
        <v>5.10606959474664E-2</v>
      </c>
      <c r="N109" s="8">
        <f t="shared" si="5"/>
        <v>775.9766666666668</v>
      </c>
      <c r="O109" s="8">
        <f t="shared" si="6"/>
        <v>722.48</v>
      </c>
      <c r="P109" s="9">
        <f t="shared" si="7"/>
        <v>574.57925011780742</v>
      </c>
      <c r="Q109">
        <f t="shared" si="8"/>
        <v>330141.31466594187</v>
      </c>
      <c r="R109" s="4">
        <f t="shared" si="9"/>
        <v>1974.28</v>
      </c>
    </row>
    <row r="110" spans="1:18" x14ac:dyDescent="0.3">
      <c r="A110" s="1" t="s">
        <v>85</v>
      </c>
      <c r="B110" s="3" t="s">
        <v>285</v>
      </c>
      <c r="C110" s="1" t="s">
        <v>398</v>
      </c>
      <c r="D110" s="1" t="s">
        <v>404</v>
      </c>
      <c r="E110" s="1" t="s">
        <v>407</v>
      </c>
      <c r="F110" s="1" t="s">
        <v>409</v>
      </c>
      <c r="G110" s="4">
        <v>1512.44</v>
      </c>
      <c r="H110" s="5">
        <v>5</v>
      </c>
      <c r="I110" s="6">
        <v>0.3</v>
      </c>
      <c r="J110" s="4">
        <v>49.02</v>
      </c>
      <c r="K110">
        <f>YEAR(B110)</f>
        <v>2023</v>
      </c>
      <c r="L110" t="str">
        <f>TEXT(B110,"mmm")</f>
        <v>Feb</v>
      </c>
      <c r="M110" s="6">
        <f>J110/G110</f>
        <v>3.2411203089048164E-2</v>
      </c>
      <c r="N110" s="8">
        <f t="shared" si="5"/>
        <v>773.78445652173923</v>
      </c>
      <c r="O110" s="8">
        <f t="shared" si="6"/>
        <v>709.94</v>
      </c>
      <c r="P110" s="9">
        <f t="shared" si="7"/>
        <v>577.33646321624451</v>
      </c>
      <c r="Q110">
        <f t="shared" si="8"/>
        <v>333317.39175904205</v>
      </c>
      <c r="R110" s="4">
        <f t="shared" si="9"/>
        <v>1974.28</v>
      </c>
    </row>
    <row r="111" spans="1:18" x14ac:dyDescent="0.3">
      <c r="A111" s="1" t="s">
        <v>137</v>
      </c>
      <c r="B111" s="3" t="s">
        <v>335</v>
      </c>
      <c r="C111" s="1" t="s">
        <v>399</v>
      </c>
      <c r="D111" s="1" t="s">
        <v>403</v>
      </c>
      <c r="E111" s="1" t="s">
        <v>405</v>
      </c>
      <c r="F111" s="1" t="s">
        <v>410</v>
      </c>
      <c r="G111" s="4">
        <v>517.85</v>
      </c>
      <c r="H111" s="5">
        <v>4</v>
      </c>
      <c r="I111" s="6">
        <v>0.3</v>
      </c>
      <c r="J111" s="4">
        <v>48.99</v>
      </c>
      <c r="K111">
        <f>YEAR(B111)</f>
        <v>2020</v>
      </c>
      <c r="L111" t="str">
        <f>TEXT(B111,"mmm")</f>
        <v>Dec</v>
      </c>
      <c r="M111" s="6">
        <f>J111/G111</f>
        <v>9.4602684174954141E-2</v>
      </c>
      <c r="N111" s="8">
        <f t="shared" si="5"/>
        <v>765.66736263736254</v>
      </c>
      <c r="O111" s="8">
        <f t="shared" si="6"/>
        <v>697.4</v>
      </c>
      <c r="P111" s="9">
        <f t="shared" si="7"/>
        <v>575.23207781987207</v>
      </c>
      <c r="Q111">
        <f t="shared" si="8"/>
        <v>330891.94335296733</v>
      </c>
      <c r="R111" s="4">
        <f t="shared" si="9"/>
        <v>1974.28</v>
      </c>
    </row>
    <row r="112" spans="1:18" x14ac:dyDescent="0.3">
      <c r="A112" s="1" t="s">
        <v>73</v>
      </c>
      <c r="B112" s="3" t="s">
        <v>273</v>
      </c>
      <c r="C112" s="1" t="s">
        <v>399</v>
      </c>
      <c r="D112" s="1" t="s">
        <v>403</v>
      </c>
      <c r="E112" s="1" t="s">
        <v>407</v>
      </c>
      <c r="F112" s="1" t="s">
        <v>411</v>
      </c>
      <c r="G112" s="4">
        <v>249.97</v>
      </c>
      <c r="H112" s="5">
        <v>3</v>
      </c>
      <c r="I112" s="6">
        <v>0.2</v>
      </c>
      <c r="J112" s="4">
        <v>47.18</v>
      </c>
      <c r="K112">
        <f>YEAR(B112)</f>
        <v>2023</v>
      </c>
      <c r="L112" t="str">
        <f>TEXT(B112,"mmm")</f>
        <v>Sep</v>
      </c>
      <c r="M112" s="6">
        <f>J112/G112</f>
        <v>0.18874264911789415</v>
      </c>
      <c r="N112" s="8">
        <f t="shared" si="5"/>
        <v>768.42088888888895</v>
      </c>
      <c r="O112" s="8">
        <f t="shared" si="6"/>
        <v>709.94</v>
      </c>
      <c r="P112" s="9">
        <f t="shared" si="7"/>
        <v>577.85129968683361</v>
      </c>
      <c r="Q112">
        <f t="shared" si="8"/>
        <v>333912.12454976281</v>
      </c>
      <c r="R112" s="4">
        <f t="shared" si="9"/>
        <v>1974.28</v>
      </c>
    </row>
    <row r="113" spans="1:18" x14ac:dyDescent="0.3">
      <c r="A113" s="1" t="s">
        <v>27</v>
      </c>
      <c r="B113" s="3" t="s">
        <v>227</v>
      </c>
      <c r="C113" s="1" t="s">
        <v>399</v>
      </c>
      <c r="D113" s="1" t="s">
        <v>402</v>
      </c>
      <c r="E113" s="1" t="s">
        <v>406</v>
      </c>
      <c r="F113" s="1" t="s">
        <v>411</v>
      </c>
      <c r="G113" s="4">
        <v>1271.5899999999999</v>
      </c>
      <c r="H113" s="5">
        <v>4</v>
      </c>
      <c r="I113" s="6">
        <v>0</v>
      </c>
      <c r="J113" s="4">
        <v>47.01</v>
      </c>
      <c r="K113">
        <f>YEAR(B113)</f>
        <v>2023</v>
      </c>
      <c r="L113" t="str">
        <f>TEXT(B113,"mmm")</f>
        <v>Sep</v>
      </c>
      <c r="M113" s="6">
        <f>J113/G113</f>
        <v>3.6969463427677159E-2</v>
      </c>
      <c r="N113" s="8">
        <f t="shared" si="5"/>
        <v>774.24617977528089</v>
      </c>
      <c r="O113" s="8">
        <f t="shared" si="6"/>
        <v>722.48</v>
      </c>
      <c r="P113" s="9">
        <f t="shared" si="7"/>
        <v>578.46159251678773</v>
      </c>
      <c r="Q113">
        <f t="shared" si="8"/>
        <v>334617.81401705818</v>
      </c>
      <c r="R113" s="4">
        <f t="shared" si="9"/>
        <v>1974.28</v>
      </c>
    </row>
    <row r="114" spans="1:18" x14ac:dyDescent="0.3">
      <c r="A114" s="1" t="s">
        <v>24</v>
      </c>
      <c r="B114" s="3" t="s">
        <v>224</v>
      </c>
      <c r="C114" s="1" t="s">
        <v>398</v>
      </c>
      <c r="D114" s="1" t="s">
        <v>404</v>
      </c>
      <c r="E114" s="1" t="s">
        <v>406</v>
      </c>
      <c r="F114" s="1" t="s">
        <v>410</v>
      </c>
      <c r="G114" s="4">
        <v>199.07</v>
      </c>
      <c r="H114" s="5">
        <v>3</v>
      </c>
      <c r="I114" s="6">
        <v>0.1</v>
      </c>
      <c r="J114" s="4">
        <v>46.34</v>
      </c>
      <c r="K114">
        <f>YEAR(B114)</f>
        <v>2020</v>
      </c>
      <c r="L114" t="str">
        <f>TEXT(B114,"mmm")</f>
        <v>Sep</v>
      </c>
      <c r="M114" s="6">
        <f>J114/G114</f>
        <v>0.232782438338273</v>
      </c>
      <c r="N114" s="8">
        <f t="shared" si="5"/>
        <v>768.59454545454548</v>
      </c>
      <c r="O114" s="8">
        <f t="shared" si="6"/>
        <v>709.94</v>
      </c>
      <c r="P114" s="9">
        <f t="shared" si="7"/>
        <v>579.30007264595361</v>
      </c>
      <c r="Q114">
        <f t="shared" si="8"/>
        <v>335588.57416760718</v>
      </c>
      <c r="R114" s="4">
        <f t="shared" si="9"/>
        <v>1974.28</v>
      </c>
    </row>
    <row r="115" spans="1:18" x14ac:dyDescent="0.3">
      <c r="A115" s="1" t="s">
        <v>35</v>
      </c>
      <c r="B115" s="3" t="s">
        <v>235</v>
      </c>
      <c r="C115" s="1" t="s">
        <v>398</v>
      </c>
      <c r="D115" s="1" t="s">
        <v>404</v>
      </c>
      <c r="E115" s="1" t="s">
        <v>405</v>
      </c>
      <c r="F115" s="1" t="s">
        <v>411</v>
      </c>
      <c r="G115" s="4">
        <v>598.74</v>
      </c>
      <c r="H115" s="5">
        <v>2</v>
      </c>
      <c r="I115" s="6">
        <v>0.1</v>
      </c>
      <c r="J115" s="4">
        <v>44.83</v>
      </c>
      <c r="K115">
        <f>YEAR(B115)</f>
        <v>2020</v>
      </c>
      <c r="L115" t="str">
        <f>TEXT(B115,"mmm")</f>
        <v>Mar</v>
      </c>
      <c r="M115" s="6">
        <f>J115/G115</f>
        <v>7.4873901860573869E-2</v>
      </c>
      <c r="N115" s="8">
        <f t="shared" si="5"/>
        <v>775.14080459770116</v>
      </c>
      <c r="O115" s="8">
        <f t="shared" si="6"/>
        <v>722.48</v>
      </c>
      <c r="P115" s="9">
        <f t="shared" si="7"/>
        <v>579.37536020854998</v>
      </c>
      <c r="Q115">
        <f t="shared" si="8"/>
        <v>335675.80801678699</v>
      </c>
      <c r="R115" s="4">
        <f t="shared" si="9"/>
        <v>1974.28</v>
      </c>
    </row>
    <row r="116" spans="1:18" x14ac:dyDescent="0.3">
      <c r="A116" s="1" t="s">
        <v>49</v>
      </c>
      <c r="B116" s="3" t="s">
        <v>249</v>
      </c>
      <c r="C116" s="1" t="s">
        <v>400</v>
      </c>
      <c r="D116" s="1" t="s">
        <v>402</v>
      </c>
      <c r="E116" s="1" t="s">
        <v>407</v>
      </c>
      <c r="F116" s="1" t="s">
        <v>411</v>
      </c>
      <c r="G116" s="4">
        <v>213.74</v>
      </c>
      <c r="H116" s="5">
        <v>9</v>
      </c>
      <c r="I116" s="6">
        <v>0.1</v>
      </c>
      <c r="J116" s="4">
        <v>44.57</v>
      </c>
      <c r="K116">
        <f>YEAR(B116)</f>
        <v>2023</v>
      </c>
      <c r="L116" t="str">
        <f>TEXT(B116,"mmm")</f>
        <v>Jan</v>
      </c>
      <c r="M116" s="6">
        <f>J116/G116</f>
        <v>0.20852437540937588</v>
      </c>
      <c r="N116" s="8">
        <f t="shared" si="5"/>
        <v>777.19197674418615</v>
      </c>
      <c r="O116" s="8">
        <f t="shared" si="6"/>
        <v>725.57999999999993</v>
      </c>
      <c r="P116" s="9">
        <f t="shared" si="7"/>
        <v>582.45565766254276</v>
      </c>
      <c r="Q116">
        <f t="shared" si="8"/>
        <v>339254.59314310522</v>
      </c>
      <c r="R116" s="4">
        <f t="shared" si="9"/>
        <v>1974.28</v>
      </c>
    </row>
    <row r="117" spans="1:18" x14ac:dyDescent="0.3">
      <c r="A117" s="1" t="s">
        <v>20</v>
      </c>
      <c r="B117" s="3" t="s">
        <v>220</v>
      </c>
      <c r="C117" s="1" t="s">
        <v>399</v>
      </c>
      <c r="D117" s="1" t="s">
        <v>403</v>
      </c>
      <c r="E117" s="1" t="s">
        <v>406</v>
      </c>
      <c r="F117" s="1" t="s">
        <v>409</v>
      </c>
      <c r="G117" s="4">
        <v>1993.44</v>
      </c>
      <c r="H117" s="5">
        <v>7</v>
      </c>
      <c r="I117" s="6">
        <v>0.2</v>
      </c>
      <c r="J117" s="4">
        <v>43.87</v>
      </c>
      <c r="K117">
        <f>YEAR(B117)</f>
        <v>2020</v>
      </c>
      <c r="L117" t="str">
        <f>TEXT(B117,"mmm")</f>
        <v>Feb</v>
      </c>
      <c r="M117" s="6">
        <f>J117/G117</f>
        <v>2.2007183562083633E-2</v>
      </c>
      <c r="N117" s="8">
        <f t="shared" si="5"/>
        <v>783.82082352941177</v>
      </c>
      <c r="O117" s="8">
        <f t="shared" si="6"/>
        <v>728.68</v>
      </c>
      <c r="P117" s="9">
        <f t="shared" si="7"/>
        <v>582.64000208249922</v>
      </c>
      <c r="Q117">
        <f t="shared" si="8"/>
        <v>339469.37202669465</v>
      </c>
      <c r="R117" s="4">
        <f t="shared" si="9"/>
        <v>1974.28</v>
      </c>
    </row>
    <row r="118" spans="1:18" x14ac:dyDescent="0.3">
      <c r="A118" s="1" t="s">
        <v>201</v>
      </c>
      <c r="B118" s="3" t="s">
        <v>392</v>
      </c>
      <c r="C118" s="1" t="s">
        <v>400</v>
      </c>
      <c r="D118" s="1" t="s">
        <v>404</v>
      </c>
      <c r="E118" s="1" t="s">
        <v>408</v>
      </c>
      <c r="F118" s="1" t="s">
        <v>409</v>
      </c>
      <c r="G118" s="4">
        <v>441.67</v>
      </c>
      <c r="H118" s="5">
        <v>7</v>
      </c>
      <c r="I118" s="6">
        <v>0.1</v>
      </c>
      <c r="J118" s="4">
        <v>42.76</v>
      </c>
      <c r="K118">
        <f>YEAR(B118)</f>
        <v>2021</v>
      </c>
      <c r="L118" t="str">
        <f>TEXT(B118,"mmm")</f>
        <v>Mar</v>
      </c>
      <c r="M118" s="6">
        <f>J118/G118</f>
        <v>9.6814363665179884E-2</v>
      </c>
      <c r="N118" s="8">
        <f t="shared" si="5"/>
        <v>769.4205952380953</v>
      </c>
      <c r="O118" s="8">
        <f t="shared" si="6"/>
        <v>725.57999999999993</v>
      </c>
      <c r="P118" s="9">
        <f t="shared" si="7"/>
        <v>570.7195828420472</v>
      </c>
      <c r="Q118">
        <f t="shared" si="8"/>
        <v>325720.84223940043</v>
      </c>
      <c r="R118" s="4">
        <f t="shared" si="9"/>
        <v>1954.1399999999999</v>
      </c>
    </row>
    <row r="119" spans="1:18" x14ac:dyDescent="0.3">
      <c r="A119" s="1" t="s">
        <v>63</v>
      </c>
      <c r="B119" s="3" t="s">
        <v>263</v>
      </c>
      <c r="C119" s="1" t="s">
        <v>399</v>
      </c>
      <c r="D119" s="1" t="s">
        <v>403</v>
      </c>
      <c r="E119" s="1" t="s">
        <v>406</v>
      </c>
      <c r="F119" s="1" t="s">
        <v>410</v>
      </c>
      <c r="G119" s="4">
        <v>1148.8399999999999</v>
      </c>
      <c r="H119" s="5">
        <v>1</v>
      </c>
      <c r="I119" s="6">
        <v>0</v>
      </c>
      <c r="J119" s="4">
        <v>42.53</v>
      </c>
      <c r="K119">
        <f>YEAR(B119)</f>
        <v>2022</v>
      </c>
      <c r="L119" t="str">
        <f>TEXT(B119,"mmm")</f>
        <v>May</v>
      </c>
      <c r="M119" s="6">
        <f>J119/G119</f>
        <v>3.7019950558824559E-2</v>
      </c>
      <c r="N119" s="8">
        <f t="shared" si="5"/>
        <v>773.36939759036136</v>
      </c>
      <c r="O119" s="8">
        <f t="shared" si="6"/>
        <v>728.68</v>
      </c>
      <c r="P119" s="9">
        <f t="shared" si="7"/>
        <v>573.0333837683869</v>
      </c>
      <c r="Q119">
        <f t="shared" si="8"/>
        <v>328367.25891304744</v>
      </c>
      <c r="R119" s="4">
        <f t="shared" si="9"/>
        <v>1954.1399999999999</v>
      </c>
    </row>
    <row r="120" spans="1:18" x14ac:dyDescent="0.3">
      <c r="A120" s="1" t="s">
        <v>150</v>
      </c>
      <c r="B120" s="3" t="s">
        <v>267</v>
      </c>
      <c r="C120" s="1" t="s">
        <v>400</v>
      </c>
      <c r="D120" s="1" t="s">
        <v>402</v>
      </c>
      <c r="E120" s="1" t="s">
        <v>408</v>
      </c>
      <c r="F120" s="1" t="s">
        <v>411</v>
      </c>
      <c r="G120" s="4">
        <v>722.48</v>
      </c>
      <c r="H120" s="5">
        <v>2</v>
      </c>
      <c r="I120" s="6">
        <v>0.3</v>
      </c>
      <c r="J120" s="4">
        <v>41.94</v>
      </c>
      <c r="K120">
        <f>YEAR(B120)</f>
        <v>2020</v>
      </c>
      <c r="L120" t="str">
        <f>TEXT(B120,"mmm")</f>
        <v>Sep</v>
      </c>
      <c r="M120" s="6">
        <f>J120/G120</f>
        <v>5.8050049828368949E-2</v>
      </c>
      <c r="N120" s="8">
        <f t="shared" si="5"/>
        <v>768.7904878048779</v>
      </c>
      <c r="O120" s="8">
        <f t="shared" si="6"/>
        <v>725.57999999999993</v>
      </c>
      <c r="P120" s="9">
        <f t="shared" si="7"/>
        <v>575.02998109256453</v>
      </c>
      <c r="Q120">
        <f t="shared" si="8"/>
        <v>330659.47915531509</v>
      </c>
      <c r="R120" s="4">
        <f t="shared" si="9"/>
        <v>1954.1399999999999</v>
      </c>
    </row>
    <row r="121" spans="1:18" x14ac:dyDescent="0.3">
      <c r="A121" s="1" t="s">
        <v>94</v>
      </c>
      <c r="B121" s="3" t="s">
        <v>294</v>
      </c>
      <c r="C121" s="1" t="s">
        <v>398</v>
      </c>
      <c r="D121" s="1" t="s">
        <v>404</v>
      </c>
      <c r="E121" s="1" t="s">
        <v>406</v>
      </c>
      <c r="F121" s="1" t="s">
        <v>409</v>
      </c>
      <c r="G121" s="4">
        <v>512.74</v>
      </c>
      <c r="H121" s="5">
        <v>8</v>
      </c>
      <c r="I121" s="6">
        <v>0</v>
      </c>
      <c r="J121" s="4">
        <v>41.17</v>
      </c>
      <c r="K121">
        <f>YEAR(B121)</f>
        <v>2020</v>
      </c>
      <c r="L121" t="str">
        <f>TEXT(B121,"mmm")</f>
        <v>Nov</v>
      </c>
      <c r="M121" s="6">
        <f>J121/G121</f>
        <v>8.0294106174669422E-2</v>
      </c>
      <c r="N121" s="8">
        <f t="shared" si="5"/>
        <v>769.36222222222204</v>
      </c>
      <c r="O121" s="8">
        <f t="shared" si="6"/>
        <v>728.68</v>
      </c>
      <c r="P121" s="9">
        <f t="shared" si="7"/>
        <v>578.5893046129529</v>
      </c>
      <c r="Q121">
        <f t="shared" si="8"/>
        <v>334765.58341250039</v>
      </c>
      <c r="R121" s="4">
        <f t="shared" si="9"/>
        <v>1954.1399999999999</v>
      </c>
    </row>
    <row r="122" spans="1:18" x14ac:dyDescent="0.3">
      <c r="A122" s="1" t="s">
        <v>189</v>
      </c>
      <c r="B122" s="3" t="s">
        <v>382</v>
      </c>
      <c r="C122" s="1" t="s">
        <v>399</v>
      </c>
      <c r="D122" s="1" t="s">
        <v>404</v>
      </c>
      <c r="E122" s="1" t="s">
        <v>405</v>
      </c>
      <c r="F122" s="1" t="s">
        <v>410</v>
      </c>
      <c r="G122" s="4">
        <v>858.42</v>
      </c>
      <c r="H122" s="5">
        <v>4</v>
      </c>
      <c r="I122" s="6">
        <v>0</v>
      </c>
      <c r="J122" s="4">
        <v>40.75</v>
      </c>
      <c r="K122">
        <f>YEAR(B122)</f>
        <v>2023</v>
      </c>
      <c r="L122" t="str">
        <f>TEXT(B122,"mmm")</f>
        <v>Feb</v>
      </c>
      <c r="M122" s="6">
        <f>J122/G122</f>
        <v>4.7470934973556068E-2</v>
      </c>
      <c r="N122" s="8">
        <f t="shared" si="5"/>
        <v>772.56999999999994</v>
      </c>
      <c r="O122" s="8">
        <f t="shared" si="6"/>
        <v>735.90499999999997</v>
      </c>
      <c r="P122" s="9">
        <f t="shared" si="7"/>
        <v>581.5144840866235</v>
      </c>
      <c r="Q122">
        <f t="shared" si="8"/>
        <v>338159.0952025319</v>
      </c>
      <c r="R122" s="4">
        <f t="shared" si="9"/>
        <v>1954.1399999999999</v>
      </c>
    </row>
    <row r="123" spans="1:18" x14ac:dyDescent="0.3">
      <c r="A123" s="1" t="s">
        <v>136</v>
      </c>
      <c r="B123" s="3" t="s">
        <v>334</v>
      </c>
      <c r="C123" s="1" t="s">
        <v>401</v>
      </c>
      <c r="D123" s="1" t="s">
        <v>402</v>
      </c>
      <c r="E123" s="1" t="s">
        <v>408</v>
      </c>
      <c r="F123" s="1" t="s">
        <v>409</v>
      </c>
      <c r="G123" s="4">
        <v>1459.35</v>
      </c>
      <c r="H123" s="5">
        <v>7</v>
      </c>
      <c r="I123" s="6">
        <v>0</v>
      </c>
      <c r="J123" s="4">
        <v>39.479999999999997</v>
      </c>
      <c r="K123">
        <f>YEAR(B123)</f>
        <v>2021</v>
      </c>
      <c r="L123" t="str">
        <f>TEXT(B123,"mmm")</f>
        <v>Sep</v>
      </c>
      <c r="M123" s="6">
        <f>J123/G123</f>
        <v>2.7053140096618356E-2</v>
      </c>
      <c r="N123" s="8">
        <f t="shared" si="5"/>
        <v>771.48329113924046</v>
      </c>
      <c r="O123" s="8">
        <f t="shared" si="6"/>
        <v>728.68</v>
      </c>
      <c r="P123" s="9">
        <f t="shared" si="7"/>
        <v>585.14851286621456</v>
      </c>
      <c r="Q123">
        <f t="shared" si="8"/>
        <v>342398.78210954246</v>
      </c>
      <c r="R123" s="4">
        <f t="shared" si="9"/>
        <v>1954.1399999999999</v>
      </c>
    </row>
    <row r="124" spans="1:18" x14ac:dyDescent="0.3">
      <c r="A124" s="1" t="s">
        <v>103</v>
      </c>
      <c r="B124" s="3" t="s">
        <v>302</v>
      </c>
      <c r="C124" s="1" t="s">
        <v>399</v>
      </c>
      <c r="D124" s="1" t="s">
        <v>402</v>
      </c>
      <c r="E124" s="1" t="s">
        <v>408</v>
      </c>
      <c r="F124" s="1" t="s">
        <v>411</v>
      </c>
      <c r="G124" s="4">
        <v>1812.42</v>
      </c>
      <c r="H124" s="5">
        <v>10</v>
      </c>
      <c r="I124" s="6">
        <v>0.3</v>
      </c>
      <c r="J124" s="4">
        <v>38.61</v>
      </c>
      <c r="K124">
        <f>YEAR(B124)</f>
        <v>2021</v>
      </c>
      <c r="L124" t="str">
        <f>TEXT(B124,"mmm")</f>
        <v>Apr</v>
      </c>
      <c r="M124" s="6">
        <f>J124/G124</f>
        <v>2.1303009236269738E-2</v>
      </c>
      <c r="N124" s="8">
        <f t="shared" si="5"/>
        <v>762.66448717948697</v>
      </c>
      <c r="O124" s="8">
        <f t="shared" si="6"/>
        <v>713.04</v>
      </c>
      <c r="P124" s="9">
        <f t="shared" si="7"/>
        <v>583.62813095603997</v>
      </c>
      <c r="Q124">
        <f t="shared" si="8"/>
        <v>340621.79524324049</v>
      </c>
      <c r="R124" s="4">
        <f t="shared" si="9"/>
        <v>1954.1399999999999</v>
      </c>
    </row>
    <row r="125" spans="1:18" x14ac:dyDescent="0.3">
      <c r="A125" s="1" t="s">
        <v>168</v>
      </c>
      <c r="B125" s="3" t="s">
        <v>364</v>
      </c>
      <c r="C125" s="1" t="s">
        <v>401</v>
      </c>
      <c r="D125" s="1" t="s">
        <v>403</v>
      </c>
      <c r="E125" s="1" t="s">
        <v>408</v>
      </c>
      <c r="F125" s="1" t="s">
        <v>410</v>
      </c>
      <c r="G125" s="4">
        <v>1744.5</v>
      </c>
      <c r="H125" s="5">
        <v>4</v>
      </c>
      <c r="I125" s="6">
        <v>0.2</v>
      </c>
      <c r="J125" s="4">
        <v>38.340000000000003</v>
      </c>
      <c r="K125">
        <f>YEAR(B125)</f>
        <v>2022</v>
      </c>
      <c r="L125" t="str">
        <f>TEXT(B125,"mmm")</f>
        <v>Apr</v>
      </c>
      <c r="M125" s="6">
        <f>J125/G125</f>
        <v>2.197764402407567E-2</v>
      </c>
      <c r="N125" s="8">
        <f t="shared" si="5"/>
        <v>749.03129870129851</v>
      </c>
      <c r="O125" s="8">
        <f t="shared" si="6"/>
        <v>697.4</v>
      </c>
      <c r="P125" s="9">
        <f t="shared" si="7"/>
        <v>574.81782105141065</v>
      </c>
      <c r="Q125">
        <f t="shared" si="8"/>
        <v>330415.52739829151</v>
      </c>
      <c r="R125" s="4">
        <f t="shared" si="9"/>
        <v>1954.1399999999999</v>
      </c>
    </row>
    <row r="126" spans="1:18" x14ac:dyDescent="0.3">
      <c r="A126" s="1" t="s">
        <v>98</v>
      </c>
      <c r="B126" s="3" t="s">
        <v>297</v>
      </c>
      <c r="C126" s="1" t="s">
        <v>399</v>
      </c>
      <c r="D126" s="1" t="s">
        <v>402</v>
      </c>
      <c r="E126" s="1" t="s">
        <v>408</v>
      </c>
      <c r="F126" s="1" t="s">
        <v>409</v>
      </c>
      <c r="G126" s="4">
        <v>1814.62</v>
      </c>
      <c r="H126" s="5">
        <v>10</v>
      </c>
      <c r="I126" s="6">
        <v>0.3</v>
      </c>
      <c r="J126" s="4">
        <v>38.22</v>
      </c>
      <c r="K126">
        <f>YEAR(B126)</f>
        <v>2021</v>
      </c>
      <c r="L126" t="str">
        <f>TEXT(B126,"mmm")</f>
        <v>Jul</v>
      </c>
      <c r="M126" s="6">
        <f>J126/G126</f>
        <v>2.1062260969238741E-2</v>
      </c>
      <c r="N126" s="8">
        <f t="shared" si="5"/>
        <v>735.93302631578922</v>
      </c>
      <c r="O126" s="8">
        <f t="shared" si="6"/>
        <v>676.18000000000006</v>
      </c>
      <c r="P126" s="9">
        <f t="shared" si="7"/>
        <v>566.95188775067413</v>
      </c>
      <c r="Q126">
        <f t="shared" si="8"/>
        <v>321434.44302405301</v>
      </c>
      <c r="R126" s="4">
        <f t="shared" si="9"/>
        <v>1954.1399999999999</v>
      </c>
    </row>
    <row r="127" spans="1:18" x14ac:dyDescent="0.3">
      <c r="A127" s="1" t="s">
        <v>52</v>
      </c>
      <c r="B127" s="3" t="s">
        <v>252</v>
      </c>
      <c r="C127" s="1" t="s">
        <v>401</v>
      </c>
      <c r="D127" s="1" t="s">
        <v>404</v>
      </c>
      <c r="E127" s="1" t="s">
        <v>406</v>
      </c>
      <c r="F127" s="1" t="s">
        <v>410</v>
      </c>
      <c r="G127" s="4">
        <v>478.84</v>
      </c>
      <c r="H127" s="5">
        <v>1</v>
      </c>
      <c r="I127" s="6">
        <v>0.3</v>
      </c>
      <c r="J127" s="4">
        <v>37.32</v>
      </c>
      <c r="K127">
        <f>YEAR(B127)</f>
        <v>2022</v>
      </c>
      <c r="L127" t="str">
        <f>TEXT(B127,"mmm")</f>
        <v>Nov</v>
      </c>
      <c r="M127" s="6">
        <f>J127/G127</f>
        <v>7.7938351014952806E-2</v>
      </c>
      <c r="N127" s="8">
        <f t="shared" si="5"/>
        <v>721.55053333333296</v>
      </c>
      <c r="O127" s="8">
        <f t="shared" si="6"/>
        <v>654.96</v>
      </c>
      <c r="P127" s="9">
        <f t="shared" si="7"/>
        <v>556.63690227111465</v>
      </c>
      <c r="Q127">
        <f t="shared" si="8"/>
        <v>309844.64096998243</v>
      </c>
      <c r="R127" s="4">
        <f t="shared" si="9"/>
        <v>1954.1399999999999</v>
      </c>
    </row>
    <row r="128" spans="1:18" x14ac:dyDescent="0.3">
      <c r="A128" s="1" t="s">
        <v>160</v>
      </c>
      <c r="B128" s="3" t="s">
        <v>356</v>
      </c>
      <c r="C128" s="1" t="s">
        <v>400</v>
      </c>
      <c r="D128" s="1" t="s">
        <v>403</v>
      </c>
      <c r="E128" s="1" t="s">
        <v>408</v>
      </c>
      <c r="F128" s="1" t="s">
        <v>409</v>
      </c>
      <c r="G128" s="4">
        <v>277.12</v>
      </c>
      <c r="H128" s="5">
        <v>9</v>
      </c>
      <c r="I128" s="6">
        <v>0.1</v>
      </c>
      <c r="J128" s="4">
        <v>36.299999999999997</v>
      </c>
      <c r="K128">
        <f>YEAR(B128)</f>
        <v>2021</v>
      </c>
      <c r="L128" t="str">
        <f>TEXT(B128,"mmm")</f>
        <v>Jul</v>
      </c>
      <c r="M128" s="6">
        <f>J128/G128</f>
        <v>0.13099018475750576</v>
      </c>
      <c r="N128" s="8">
        <f t="shared" si="5"/>
        <v>724.83040540540503</v>
      </c>
      <c r="O128" s="8">
        <f t="shared" si="6"/>
        <v>676.18000000000006</v>
      </c>
      <c r="P128" s="9">
        <f t="shared" si="7"/>
        <v>559.70636833733454</v>
      </c>
      <c r="Q128">
        <f t="shared" si="8"/>
        <v>313271.21875736798</v>
      </c>
      <c r="R128" s="4">
        <f t="shared" si="9"/>
        <v>1954.1399999999999</v>
      </c>
    </row>
    <row r="129" spans="1:18" x14ac:dyDescent="0.3">
      <c r="A129" s="1" t="s">
        <v>163</v>
      </c>
      <c r="B129" s="3" t="s">
        <v>359</v>
      </c>
      <c r="C129" s="1" t="s">
        <v>400</v>
      </c>
      <c r="D129" s="1" t="s">
        <v>403</v>
      </c>
      <c r="E129" s="1" t="s">
        <v>408</v>
      </c>
      <c r="F129" s="1" t="s">
        <v>409</v>
      </c>
      <c r="G129" s="4">
        <v>1713.05</v>
      </c>
      <c r="H129" s="5">
        <v>9</v>
      </c>
      <c r="I129" s="6">
        <v>0.3</v>
      </c>
      <c r="J129" s="4">
        <v>35.770000000000003</v>
      </c>
      <c r="K129">
        <f>YEAR(B129)</f>
        <v>2023</v>
      </c>
      <c r="L129" t="str">
        <f>TEXT(B129,"mmm")</f>
        <v>Sep</v>
      </c>
      <c r="M129" s="6">
        <f>J129/G129</f>
        <v>2.088088497125011E-2</v>
      </c>
      <c r="N129" s="8">
        <f t="shared" si="5"/>
        <v>730.96342465753389</v>
      </c>
      <c r="O129" s="8">
        <f t="shared" si="6"/>
        <v>697.4</v>
      </c>
      <c r="P129" s="9">
        <f t="shared" si="7"/>
        <v>561.07051133480377</v>
      </c>
      <c r="Q129">
        <f t="shared" si="8"/>
        <v>314800.11868949817</v>
      </c>
      <c r="R129" s="4">
        <f t="shared" si="9"/>
        <v>1954.1399999999999</v>
      </c>
    </row>
    <row r="130" spans="1:18" x14ac:dyDescent="0.3">
      <c r="A130" s="1" t="s">
        <v>45</v>
      </c>
      <c r="B130" s="3" t="s">
        <v>245</v>
      </c>
      <c r="C130" s="1" t="s">
        <v>400</v>
      </c>
      <c r="D130" s="1" t="s">
        <v>404</v>
      </c>
      <c r="E130" s="1" t="s">
        <v>408</v>
      </c>
      <c r="F130" s="1" t="s">
        <v>410</v>
      </c>
      <c r="G130" s="4">
        <v>1242.3</v>
      </c>
      <c r="H130" s="5">
        <v>2</v>
      </c>
      <c r="I130" s="6">
        <v>0.2</v>
      </c>
      <c r="J130" s="4">
        <v>35.18</v>
      </c>
      <c r="K130">
        <f>YEAR(B130)</f>
        <v>2022</v>
      </c>
      <c r="L130" t="str">
        <f>TEXT(B130,"mmm")</f>
        <v>Dec</v>
      </c>
      <c r="M130" s="6">
        <f>J130/G130</f>
        <v>2.8318441600257586E-2</v>
      </c>
      <c r="N130" s="8">
        <f t="shared" si="5"/>
        <v>717.32333333333304</v>
      </c>
      <c r="O130" s="8">
        <f t="shared" si="6"/>
        <v>676.18000000000006</v>
      </c>
      <c r="P130" s="9">
        <f t="shared" si="7"/>
        <v>552.68510701437697</v>
      </c>
      <c r="Q130">
        <f t="shared" si="8"/>
        <v>305460.82751549338</v>
      </c>
      <c r="R130" s="4">
        <f t="shared" si="9"/>
        <v>1954.1399999999999</v>
      </c>
    </row>
    <row r="131" spans="1:18" x14ac:dyDescent="0.3">
      <c r="A131" s="1" t="s">
        <v>13</v>
      </c>
      <c r="B131" s="3" t="s">
        <v>213</v>
      </c>
      <c r="C131" s="1" t="s">
        <v>398</v>
      </c>
      <c r="D131" s="1" t="s">
        <v>402</v>
      </c>
      <c r="E131" s="1" t="s">
        <v>407</v>
      </c>
      <c r="F131" s="1" t="s">
        <v>411</v>
      </c>
      <c r="G131" s="4">
        <v>1178.44</v>
      </c>
      <c r="H131" s="5">
        <v>3</v>
      </c>
      <c r="I131" s="6">
        <v>0.3</v>
      </c>
      <c r="J131" s="4">
        <v>35.159999999999997</v>
      </c>
      <c r="K131">
        <f>YEAR(B131)</f>
        <v>2020</v>
      </c>
      <c r="L131" t="str">
        <f>TEXT(B131,"mmm")</f>
        <v>Jan</v>
      </c>
      <c r="M131" s="6">
        <f>J131/G131</f>
        <v>2.9836054444859303E-2</v>
      </c>
      <c r="N131" s="8">
        <f t="shared" ref="N131:N194" si="10">AVERAGE(G131:G330)</f>
        <v>709.92929577464758</v>
      </c>
      <c r="O131" s="8">
        <f t="shared" ref="O131:O194" si="11">MEDIAN(G131:G330)</f>
        <v>654.96</v>
      </c>
      <c r="P131" s="9">
        <f t="shared" ref="P131:P194" si="12">_xlfn.STDEV.S(G131:G330)</f>
        <v>553.02075078433427</v>
      </c>
      <c r="Q131">
        <f t="shared" ref="Q131:Q194" si="13">_xlfn.VAR.S(G131:G330)</f>
        <v>305831.95079806872</v>
      </c>
      <c r="R131" s="4">
        <f t="shared" ref="R131:R194" si="14">MAX(G131:G330)-MIN(G131:G330)</f>
        <v>1954.1399999999999</v>
      </c>
    </row>
    <row r="132" spans="1:18" x14ac:dyDescent="0.3">
      <c r="A132" s="1" t="s">
        <v>111</v>
      </c>
      <c r="B132" s="3" t="s">
        <v>310</v>
      </c>
      <c r="C132" s="1" t="s">
        <v>398</v>
      </c>
      <c r="D132" s="1" t="s">
        <v>404</v>
      </c>
      <c r="E132" s="1" t="s">
        <v>407</v>
      </c>
      <c r="F132" s="1" t="s">
        <v>409</v>
      </c>
      <c r="G132" s="4">
        <v>1058.8800000000001</v>
      </c>
      <c r="H132" s="5">
        <v>5</v>
      </c>
      <c r="I132" s="6">
        <v>0.3</v>
      </c>
      <c r="J132" s="4">
        <v>34.18</v>
      </c>
      <c r="K132">
        <f>YEAR(B132)</f>
        <v>2020</v>
      </c>
      <c r="L132" t="str">
        <f>TEXT(B132,"mmm")</f>
        <v>Oct</v>
      </c>
      <c r="M132" s="6">
        <f>J132/G132</f>
        <v>3.2279389543668775E-2</v>
      </c>
      <c r="N132" s="8">
        <f t="shared" si="10"/>
        <v>703.23628571428537</v>
      </c>
      <c r="O132" s="8">
        <f t="shared" si="11"/>
        <v>634.55500000000006</v>
      </c>
      <c r="P132" s="9">
        <f t="shared" si="12"/>
        <v>554.10979042160682</v>
      </c>
      <c r="Q132">
        <f t="shared" si="13"/>
        <v>307037.65984107705</v>
      </c>
      <c r="R132" s="4">
        <f t="shared" si="14"/>
        <v>1954.1399999999999</v>
      </c>
    </row>
    <row r="133" spans="1:18" x14ac:dyDescent="0.3">
      <c r="A133" s="1" t="s">
        <v>56</v>
      </c>
      <c r="B133" s="3" t="s">
        <v>256</v>
      </c>
      <c r="C133" s="1" t="s">
        <v>398</v>
      </c>
      <c r="D133" s="1" t="s">
        <v>403</v>
      </c>
      <c r="E133" s="1" t="s">
        <v>405</v>
      </c>
      <c r="F133" s="1" t="s">
        <v>409</v>
      </c>
      <c r="G133" s="4">
        <v>1187.9000000000001</v>
      </c>
      <c r="H133" s="5">
        <v>7</v>
      </c>
      <c r="I133" s="6">
        <v>0.1</v>
      </c>
      <c r="J133" s="4">
        <v>33.93</v>
      </c>
      <c r="K133">
        <f>YEAR(B133)</f>
        <v>2023</v>
      </c>
      <c r="L133" t="str">
        <f>TEXT(B133,"mmm")</f>
        <v>Jan</v>
      </c>
      <c r="M133" s="6">
        <f>J133/G133</f>
        <v>2.8563010354406934E-2</v>
      </c>
      <c r="N133" s="8">
        <f t="shared" si="10"/>
        <v>698.08202898550701</v>
      </c>
      <c r="O133" s="8">
        <f t="shared" si="11"/>
        <v>614.15</v>
      </c>
      <c r="P133" s="9">
        <f t="shared" si="12"/>
        <v>556.47634850797056</v>
      </c>
      <c r="Q133">
        <f t="shared" si="13"/>
        <v>309665.92644876428</v>
      </c>
      <c r="R133" s="4">
        <f t="shared" si="14"/>
        <v>1954.1399999999999</v>
      </c>
    </row>
    <row r="134" spans="1:18" x14ac:dyDescent="0.3">
      <c r="A134" s="1" t="s">
        <v>123</v>
      </c>
      <c r="B134" s="3" t="s">
        <v>321</v>
      </c>
      <c r="C134" s="1" t="s">
        <v>399</v>
      </c>
      <c r="D134" s="1" t="s">
        <v>402</v>
      </c>
      <c r="E134" s="1" t="s">
        <v>408</v>
      </c>
      <c r="F134" s="1" t="s">
        <v>411</v>
      </c>
      <c r="G134" s="4">
        <v>539.84</v>
      </c>
      <c r="H134" s="5">
        <v>10</v>
      </c>
      <c r="I134" s="6">
        <v>0.3</v>
      </c>
      <c r="J134" s="4">
        <v>33.119999999999997</v>
      </c>
      <c r="K134">
        <f>YEAR(B134)</f>
        <v>2020</v>
      </c>
      <c r="L134" t="str">
        <f>TEXT(B134,"mmm")</f>
        <v>Aug</v>
      </c>
      <c r="M134" s="6">
        <f>J134/G134</f>
        <v>6.1351511558980429E-2</v>
      </c>
      <c r="N134" s="8">
        <f t="shared" si="10"/>
        <v>690.87882352941142</v>
      </c>
      <c r="O134" s="8">
        <f t="shared" si="11"/>
        <v>595.27</v>
      </c>
      <c r="P134" s="9">
        <f t="shared" si="12"/>
        <v>557.36363829025299</v>
      </c>
      <c r="Q134">
        <f t="shared" si="13"/>
        <v>310654.22528814792</v>
      </c>
      <c r="R134" s="4">
        <f t="shared" si="14"/>
        <v>1954.1399999999999</v>
      </c>
    </row>
    <row r="135" spans="1:18" x14ac:dyDescent="0.3">
      <c r="A135" s="1" t="s">
        <v>171</v>
      </c>
      <c r="B135" s="3" t="s">
        <v>367</v>
      </c>
      <c r="C135" s="1" t="s">
        <v>399</v>
      </c>
      <c r="D135" s="1" t="s">
        <v>402</v>
      </c>
      <c r="E135" s="1" t="s">
        <v>408</v>
      </c>
      <c r="F135" s="1" t="s">
        <v>409</v>
      </c>
      <c r="G135" s="4">
        <v>551.66999999999996</v>
      </c>
      <c r="H135" s="5">
        <v>3</v>
      </c>
      <c r="I135" s="6">
        <v>0.1</v>
      </c>
      <c r="J135" s="4">
        <v>31.62</v>
      </c>
      <c r="K135">
        <f>YEAR(B135)</f>
        <v>2023</v>
      </c>
      <c r="L135" t="str">
        <f>TEXT(B135,"mmm")</f>
        <v>Aug</v>
      </c>
      <c r="M135" s="6">
        <f>J135/G135</f>
        <v>5.7316874218282673E-2</v>
      </c>
      <c r="N135" s="8">
        <f t="shared" si="10"/>
        <v>693.13313432835787</v>
      </c>
      <c r="O135" s="8">
        <f t="shared" si="11"/>
        <v>614.15</v>
      </c>
      <c r="P135" s="9">
        <f t="shared" si="12"/>
        <v>561.25778498537932</v>
      </c>
      <c r="Q135">
        <f t="shared" si="13"/>
        <v>315010.30120669422</v>
      </c>
      <c r="R135" s="4">
        <f t="shared" si="14"/>
        <v>1954.1399999999999</v>
      </c>
    </row>
    <row r="136" spans="1:18" x14ac:dyDescent="0.3">
      <c r="A136" s="1" t="s">
        <v>79</v>
      </c>
      <c r="B136" s="3" t="s">
        <v>279</v>
      </c>
      <c r="C136" s="1" t="s">
        <v>400</v>
      </c>
      <c r="D136" s="1" t="s">
        <v>402</v>
      </c>
      <c r="E136" s="1" t="s">
        <v>408</v>
      </c>
      <c r="F136" s="1" t="s">
        <v>409</v>
      </c>
      <c r="G136" s="4">
        <v>179.98</v>
      </c>
      <c r="H136" s="5">
        <v>6</v>
      </c>
      <c r="I136" s="6">
        <v>0.2</v>
      </c>
      <c r="J136" s="4">
        <v>31.46</v>
      </c>
      <c r="K136">
        <f>YEAR(B136)</f>
        <v>2022</v>
      </c>
      <c r="L136" t="str">
        <f>TEXT(B136,"mmm")</f>
        <v>Jan</v>
      </c>
      <c r="M136" s="6">
        <f>J136/G136</f>
        <v>0.17479719968885432</v>
      </c>
      <c r="N136" s="8">
        <f t="shared" si="10"/>
        <v>695.27651515151479</v>
      </c>
      <c r="O136" s="8">
        <f t="shared" si="11"/>
        <v>634.55500000000006</v>
      </c>
      <c r="P136" s="9">
        <f t="shared" si="12"/>
        <v>565.28229641887117</v>
      </c>
      <c r="Q136">
        <f t="shared" si="13"/>
        <v>319544.07464459253</v>
      </c>
      <c r="R136" s="4">
        <f t="shared" si="14"/>
        <v>1954.1399999999999</v>
      </c>
    </row>
    <row r="137" spans="1:18" x14ac:dyDescent="0.3">
      <c r="A137" s="1" t="s">
        <v>71</v>
      </c>
      <c r="B137" s="3" t="s">
        <v>271</v>
      </c>
      <c r="C137" s="1" t="s">
        <v>400</v>
      </c>
      <c r="D137" s="1" t="s">
        <v>402</v>
      </c>
      <c r="E137" s="1" t="s">
        <v>407</v>
      </c>
      <c r="F137" s="1" t="s">
        <v>411</v>
      </c>
      <c r="G137" s="4">
        <v>303.8</v>
      </c>
      <c r="H137" s="5">
        <v>8</v>
      </c>
      <c r="I137" s="6">
        <v>0.2</v>
      </c>
      <c r="J137" s="4">
        <v>31.43</v>
      </c>
      <c r="K137">
        <f>YEAR(B137)</f>
        <v>2020</v>
      </c>
      <c r="L137" t="str">
        <f>TEXT(B137,"mmm")</f>
        <v>Jan</v>
      </c>
      <c r="M137" s="6">
        <f>J137/G137</f>
        <v>0.10345622119815667</v>
      </c>
      <c r="N137" s="8">
        <f t="shared" si="10"/>
        <v>703.20415384615342</v>
      </c>
      <c r="O137" s="8">
        <f t="shared" si="11"/>
        <v>654.96</v>
      </c>
      <c r="P137" s="9">
        <f t="shared" si="12"/>
        <v>565.97191390091439</v>
      </c>
      <c r="Q137">
        <f t="shared" si="13"/>
        <v>320324.20732466399</v>
      </c>
      <c r="R137" s="4">
        <f t="shared" si="14"/>
        <v>1954.1399999999999</v>
      </c>
    </row>
    <row r="138" spans="1:18" x14ac:dyDescent="0.3">
      <c r="A138" s="1" t="s">
        <v>178</v>
      </c>
      <c r="B138" s="3" t="s">
        <v>373</v>
      </c>
      <c r="C138" s="1" t="s">
        <v>401</v>
      </c>
      <c r="D138" s="1" t="s">
        <v>402</v>
      </c>
      <c r="E138" s="1" t="s">
        <v>405</v>
      </c>
      <c r="F138" s="1" t="s">
        <v>409</v>
      </c>
      <c r="G138" s="4">
        <v>1160.23</v>
      </c>
      <c r="H138" s="5">
        <v>8</v>
      </c>
      <c r="I138" s="6">
        <v>0.1</v>
      </c>
      <c r="J138" s="4">
        <v>31.39</v>
      </c>
      <c r="K138">
        <f>YEAR(B138)</f>
        <v>2021</v>
      </c>
      <c r="L138" t="str">
        <f>TEXT(B138,"mmm")</f>
        <v>Jun</v>
      </c>
      <c r="M138" s="6">
        <f>J138/G138</f>
        <v>2.705498047800867E-2</v>
      </c>
      <c r="N138" s="8">
        <f t="shared" si="10"/>
        <v>709.44484374999968</v>
      </c>
      <c r="O138" s="8">
        <f t="shared" si="11"/>
        <v>676.18000000000006</v>
      </c>
      <c r="P138" s="9">
        <f t="shared" si="12"/>
        <v>568.18749746275785</v>
      </c>
      <c r="Q138">
        <f t="shared" si="13"/>
        <v>322837.03227299149</v>
      </c>
      <c r="R138" s="4">
        <f t="shared" si="14"/>
        <v>1954.1399999999999</v>
      </c>
    </row>
    <row r="139" spans="1:18" x14ac:dyDescent="0.3">
      <c r="A139" s="1" t="s">
        <v>188</v>
      </c>
      <c r="B139" s="3" t="s">
        <v>381</v>
      </c>
      <c r="C139" s="1" t="s">
        <v>398</v>
      </c>
      <c r="D139" s="1" t="s">
        <v>402</v>
      </c>
      <c r="E139" s="1" t="s">
        <v>408</v>
      </c>
      <c r="F139" s="1" t="s">
        <v>410</v>
      </c>
      <c r="G139" s="4">
        <v>371.56</v>
      </c>
      <c r="H139" s="5">
        <v>7</v>
      </c>
      <c r="I139" s="6">
        <v>0.1</v>
      </c>
      <c r="J139" s="4">
        <v>30.2</v>
      </c>
      <c r="K139">
        <f>YEAR(B139)</f>
        <v>2023</v>
      </c>
      <c r="L139" t="str">
        <f>TEXT(B139,"mmm")</f>
        <v>Sep</v>
      </c>
      <c r="M139" s="6">
        <f>J139/G139</f>
        <v>8.1278932070190546E-2</v>
      </c>
      <c r="N139" s="8">
        <f t="shared" si="10"/>
        <v>702.28952380952353</v>
      </c>
      <c r="O139" s="8">
        <f t="shared" si="11"/>
        <v>654.96</v>
      </c>
      <c r="P139" s="9">
        <f t="shared" si="12"/>
        <v>569.8372753589216</v>
      </c>
      <c r="Q139">
        <f t="shared" si="13"/>
        <v>324714.52038847946</v>
      </c>
      <c r="R139" s="4">
        <f t="shared" si="14"/>
        <v>1954.1399999999999</v>
      </c>
    </row>
    <row r="140" spans="1:18" x14ac:dyDescent="0.3">
      <c r="A140" s="1" t="s">
        <v>169</v>
      </c>
      <c r="B140" s="3" t="s">
        <v>365</v>
      </c>
      <c r="C140" s="1" t="s">
        <v>398</v>
      </c>
      <c r="D140" s="1" t="s">
        <v>403</v>
      </c>
      <c r="E140" s="1" t="s">
        <v>407</v>
      </c>
      <c r="F140" s="1" t="s">
        <v>410</v>
      </c>
      <c r="G140" s="4">
        <v>614.15</v>
      </c>
      <c r="H140" s="5">
        <v>10</v>
      </c>
      <c r="I140" s="6">
        <v>0.2</v>
      </c>
      <c r="J140" s="4">
        <v>29.8</v>
      </c>
      <c r="K140">
        <f>YEAR(B140)</f>
        <v>2020</v>
      </c>
      <c r="L140" t="str">
        <f>TEXT(B140,"mmm")</f>
        <v>Feb</v>
      </c>
      <c r="M140" s="6">
        <f>J140/G140</f>
        <v>4.852234796059595E-2</v>
      </c>
      <c r="N140" s="8">
        <f t="shared" si="10"/>
        <v>707.6238709677416</v>
      </c>
      <c r="O140" s="8">
        <f t="shared" si="11"/>
        <v>676.18000000000006</v>
      </c>
      <c r="P140" s="9">
        <f t="shared" si="12"/>
        <v>572.90107319963613</v>
      </c>
      <c r="Q140">
        <f t="shared" si="13"/>
        <v>328215.63967329485</v>
      </c>
      <c r="R140" s="4">
        <f t="shared" si="14"/>
        <v>1954.1399999999999</v>
      </c>
    </row>
    <row r="141" spans="1:18" x14ac:dyDescent="0.3">
      <c r="A141" s="1" t="s">
        <v>165</v>
      </c>
      <c r="B141" s="3" t="s">
        <v>361</v>
      </c>
      <c r="C141" s="1" t="s">
        <v>400</v>
      </c>
      <c r="D141" s="1" t="s">
        <v>402</v>
      </c>
      <c r="E141" s="1" t="s">
        <v>406</v>
      </c>
      <c r="F141" s="1" t="s">
        <v>409</v>
      </c>
      <c r="G141" s="4">
        <v>1039.8399999999999</v>
      </c>
      <c r="H141" s="5">
        <v>9</v>
      </c>
      <c r="I141" s="6">
        <v>0.1</v>
      </c>
      <c r="J141" s="4">
        <v>29.63</v>
      </c>
      <c r="K141">
        <f>YEAR(B141)</f>
        <v>2021</v>
      </c>
      <c r="L141" t="str">
        <f>TEXT(B141,"mmm")</f>
        <v>Oct</v>
      </c>
      <c r="M141" s="6">
        <f>J141/G141</f>
        <v>2.8494768425911681E-2</v>
      </c>
      <c r="N141" s="8">
        <f t="shared" si="10"/>
        <v>709.15622950819636</v>
      </c>
      <c r="O141" s="8">
        <f t="shared" si="11"/>
        <v>697.4</v>
      </c>
      <c r="P141" s="9">
        <f t="shared" si="12"/>
        <v>577.52739357876362</v>
      </c>
      <c r="Q141">
        <f t="shared" si="13"/>
        <v>333537.89033388015</v>
      </c>
      <c r="R141" s="4">
        <f t="shared" si="14"/>
        <v>1954.1399999999999</v>
      </c>
    </row>
    <row r="142" spans="1:18" x14ac:dyDescent="0.3">
      <c r="A142" s="1" t="s">
        <v>134</v>
      </c>
      <c r="B142" s="3" t="s">
        <v>332</v>
      </c>
      <c r="C142" s="1" t="s">
        <v>399</v>
      </c>
      <c r="D142" s="1" t="s">
        <v>402</v>
      </c>
      <c r="E142" s="1" t="s">
        <v>405</v>
      </c>
      <c r="F142" s="1" t="s">
        <v>411</v>
      </c>
      <c r="G142" s="4">
        <v>130.15</v>
      </c>
      <c r="H142" s="5">
        <v>6</v>
      </c>
      <c r="I142" s="6">
        <v>0</v>
      </c>
      <c r="J142" s="4">
        <v>27.44</v>
      </c>
      <c r="K142">
        <f>YEAR(B142)</f>
        <v>2022</v>
      </c>
      <c r="L142" t="str">
        <f>TEXT(B142,"mmm")</f>
        <v>Jul</v>
      </c>
      <c r="M142" s="6">
        <f>J142/G142</f>
        <v>0.21083365347675759</v>
      </c>
      <c r="N142" s="8">
        <f t="shared" si="10"/>
        <v>703.64483333333305</v>
      </c>
      <c r="O142" s="8">
        <f t="shared" si="11"/>
        <v>676.18000000000006</v>
      </c>
      <c r="P142" s="9">
        <f t="shared" si="12"/>
        <v>580.78116790654235</v>
      </c>
      <c r="Q142">
        <f t="shared" si="13"/>
        <v>337306.76499488734</v>
      </c>
      <c r="R142" s="4">
        <f t="shared" si="14"/>
        <v>1954.1399999999999</v>
      </c>
    </row>
    <row r="143" spans="1:18" x14ac:dyDescent="0.3">
      <c r="A143" s="1" t="s">
        <v>148</v>
      </c>
      <c r="B143" s="3" t="s">
        <v>346</v>
      </c>
      <c r="C143" s="1" t="s">
        <v>399</v>
      </c>
      <c r="D143" s="1" t="s">
        <v>404</v>
      </c>
      <c r="E143" s="1" t="s">
        <v>407</v>
      </c>
      <c r="F143" s="1" t="s">
        <v>411</v>
      </c>
      <c r="G143" s="4">
        <v>485.6</v>
      </c>
      <c r="H143" s="5">
        <v>1</v>
      </c>
      <c r="I143" s="6">
        <v>0.1</v>
      </c>
      <c r="J143" s="4">
        <v>26.33</v>
      </c>
      <c r="K143">
        <f>YEAR(B143)</f>
        <v>2022</v>
      </c>
      <c r="L143" t="str">
        <f>TEXT(B143,"mmm")</f>
        <v>Apr</v>
      </c>
      <c r="M143" s="6">
        <f>J143/G143</f>
        <v>5.4221581548599664E-2</v>
      </c>
      <c r="N143" s="8">
        <f t="shared" si="10"/>
        <v>713.36508474576237</v>
      </c>
      <c r="O143" s="8">
        <f t="shared" si="11"/>
        <v>697.4</v>
      </c>
      <c r="P143" s="9">
        <f t="shared" si="12"/>
        <v>580.82326080395694</v>
      </c>
      <c r="Q143">
        <f t="shared" si="13"/>
        <v>337355.66029094142</v>
      </c>
      <c r="R143" s="4">
        <f t="shared" si="14"/>
        <v>1954.1399999999999</v>
      </c>
    </row>
    <row r="144" spans="1:18" x14ac:dyDescent="0.3">
      <c r="A144" s="1" t="s">
        <v>68</v>
      </c>
      <c r="B144" s="3" t="s">
        <v>268</v>
      </c>
      <c r="C144" s="1" t="s">
        <v>400</v>
      </c>
      <c r="D144" s="1" t="s">
        <v>402</v>
      </c>
      <c r="E144" s="1" t="s">
        <v>405</v>
      </c>
      <c r="F144" s="1" t="s">
        <v>410</v>
      </c>
      <c r="G144" s="4">
        <v>526.36</v>
      </c>
      <c r="H144" s="5">
        <v>2</v>
      </c>
      <c r="I144" s="6">
        <v>0.2</v>
      </c>
      <c r="J144" s="4">
        <v>25.8</v>
      </c>
      <c r="K144">
        <f>YEAR(B144)</f>
        <v>2023</v>
      </c>
      <c r="L144" t="str">
        <f>TEXT(B144,"mmm")</f>
        <v>Jun</v>
      </c>
      <c r="M144" s="6">
        <f>J144/G144</f>
        <v>4.9015882665856068E-2</v>
      </c>
      <c r="N144" s="8">
        <f t="shared" si="10"/>
        <v>717.29206896551693</v>
      </c>
      <c r="O144" s="8">
        <f t="shared" si="11"/>
        <v>713.04</v>
      </c>
      <c r="P144" s="9">
        <f t="shared" si="12"/>
        <v>585.10543259166229</v>
      </c>
      <c r="Q144">
        <f t="shared" si="13"/>
        <v>342348.36724827631</v>
      </c>
      <c r="R144" s="4">
        <f t="shared" si="14"/>
        <v>1954.1399999999999</v>
      </c>
    </row>
    <row r="145" spans="1:18" x14ac:dyDescent="0.3">
      <c r="A145" s="1" t="s">
        <v>12</v>
      </c>
      <c r="B145" s="3" t="s">
        <v>212</v>
      </c>
      <c r="C145" s="1" t="s">
        <v>400</v>
      </c>
      <c r="D145" s="1" t="s">
        <v>402</v>
      </c>
      <c r="E145" s="1" t="s">
        <v>407</v>
      </c>
      <c r="F145" s="1" t="s">
        <v>409</v>
      </c>
      <c r="G145" s="4">
        <v>697.4</v>
      </c>
      <c r="H145" s="5">
        <v>7</v>
      </c>
      <c r="I145" s="6">
        <v>0</v>
      </c>
      <c r="J145" s="4">
        <v>25.69</v>
      </c>
      <c r="K145">
        <f>YEAR(B145)</f>
        <v>2023</v>
      </c>
      <c r="L145" t="str">
        <f>TEXT(B145,"mmm")</f>
        <v>Oct</v>
      </c>
      <c r="M145" s="6">
        <f>J145/G145</f>
        <v>3.6836822483510182E-2</v>
      </c>
      <c r="N145" s="8">
        <f t="shared" si="10"/>
        <v>720.64175438596465</v>
      </c>
      <c r="O145" s="8">
        <f t="shared" si="11"/>
        <v>728.68</v>
      </c>
      <c r="P145" s="9">
        <f t="shared" si="12"/>
        <v>589.74513738418898</v>
      </c>
      <c r="Q145">
        <f t="shared" si="13"/>
        <v>347799.32706829591</v>
      </c>
      <c r="R145" s="4">
        <f t="shared" si="14"/>
        <v>1954.1399999999999</v>
      </c>
    </row>
    <row r="146" spans="1:18" x14ac:dyDescent="0.3">
      <c r="A146" s="1" t="s">
        <v>58</v>
      </c>
      <c r="B146" s="3" t="s">
        <v>258</v>
      </c>
      <c r="C146" s="1" t="s">
        <v>400</v>
      </c>
      <c r="D146" s="1" t="s">
        <v>402</v>
      </c>
      <c r="E146" s="1" t="s">
        <v>408</v>
      </c>
      <c r="F146" s="1" t="s">
        <v>409</v>
      </c>
      <c r="G146" s="4">
        <v>728.68</v>
      </c>
      <c r="H146" s="5">
        <v>6</v>
      </c>
      <c r="I146" s="6">
        <v>0.1</v>
      </c>
      <c r="J146" s="4">
        <v>25.57</v>
      </c>
      <c r="K146">
        <f>YEAR(B146)</f>
        <v>2022</v>
      </c>
      <c r="L146" t="str">
        <f>TEXT(B146,"mmm")</f>
        <v>Feb</v>
      </c>
      <c r="M146" s="6">
        <f>J146/G146</f>
        <v>3.5090849206784874E-2</v>
      </c>
      <c r="N146" s="8">
        <f t="shared" si="10"/>
        <v>721.05678571428541</v>
      </c>
      <c r="O146" s="8">
        <f t="shared" si="11"/>
        <v>735.90499999999997</v>
      </c>
      <c r="P146" s="9">
        <f t="shared" si="12"/>
        <v>595.07390664936349</v>
      </c>
      <c r="Q146">
        <f t="shared" si="13"/>
        <v>354112.95437493536</v>
      </c>
      <c r="R146" s="4">
        <f t="shared" si="14"/>
        <v>1954.1399999999999</v>
      </c>
    </row>
    <row r="147" spans="1:18" x14ac:dyDescent="0.3">
      <c r="A147" s="1" t="s">
        <v>145</v>
      </c>
      <c r="B147" s="3" t="s">
        <v>343</v>
      </c>
      <c r="C147" s="1" t="s">
        <v>398</v>
      </c>
      <c r="D147" s="1" t="s">
        <v>402</v>
      </c>
      <c r="E147" s="1" t="s">
        <v>408</v>
      </c>
      <c r="F147" s="1" t="s">
        <v>411</v>
      </c>
      <c r="G147" s="4">
        <v>105.88</v>
      </c>
      <c r="H147" s="5">
        <v>4</v>
      </c>
      <c r="I147" s="6">
        <v>0.2</v>
      </c>
      <c r="J147" s="4">
        <v>20.65</v>
      </c>
      <c r="K147">
        <f>YEAR(B147)</f>
        <v>2023</v>
      </c>
      <c r="L147" t="str">
        <f>TEXT(B147,"mmm")</f>
        <v>Mar</v>
      </c>
      <c r="M147" s="6">
        <f>J147/G147</f>
        <v>0.1950321118247072</v>
      </c>
      <c r="N147" s="8">
        <f t="shared" si="10"/>
        <v>720.91818181818155</v>
      </c>
      <c r="O147" s="8">
        <f t="shared" si="11"/>
        <v>743.13</v>
      </c>
      <c r="P147" s="9">
        <f t="shared" si="12"/>
        <v>600.55766245829727</v>
      </c>
      <c r="Q147">
        <f t="shared" si="13"/>
        <v>360669.50593737414</v>
      </c>
      <c r="R147" s="4">
        <f t="shared" si="14"/>
        <v>1954.1399999999999</v>
      </c>
    </row>
    <row r="148" spans="1:18" x14ac:dyDescent="0.3">
      <c r="A148" s="1" t="s">
        <v>147</v>
      </c>
      <c r="B148" s="3" t="s">
        <v>345</v>
      </c>
      <c r="C148" s="1" t="s">
        <v>401</v>
      </c>
      <c r="D148" s="1" t="s">
        <v>403</v>
      </c>
      <c r="E148" s="1" t="s">
        <v>406</v>
      </c>
      <c r="F148" s="1" t="s">
        <v>410</v>
      </c>
      <c r="G148" s="4">
        <v>767.08</v>
      </c>
      <c r="H148" s="5">
        <v>5</v>
      </c>
      <c r="I148" s="6">
        <v>0</v>
      </c>
      <c r="J148" s="4">
        <v>17.16</v>
      </c>
      <c r="K148">
        <f>YEAR(B148)</f>
        <v>2022</v>
      </c>
      <c r="L148" t="str">
        <f>TEXT(B148,"mmm")</f>
        <v>Jun</v>
      </c>
      <c r="M148" s="6">
        <f>J148/G148</f>
        <v>2.2370548052354382E-2</v>
      </c>
      <c r="N148" s="8">
        <f t="shared" si="10"/>
        <v>732.30777777777757</v>
      </c>
      <c r="O148" s="8">
        <f t="shared" si="11"/>
        <v>743.41000000000008</v>
      </c>
      <c r="P148" s="9">
        <f t="shared" si="12"/>
        <v>600.17098694334913</v>
      </c>
      <c r="Q148">
        <f t="shared" si="13"/>
        <v>360205.21356855374</v>
      </c>
      <c r="R148" s="4">
        <f t="shared" si="14"/>
        <v>1954.1399999999999</v>
      </c>
    </row>
    <row r="149" spans="1:18" x14ac:dyDescent="0.3">
      <c r="A149" s="1" t="s">
        <v>106</v>
      </c>
      <c r="B149" s="3" t="s">
        <v>305</v>
      </c>
      <c r="C149" s="1" t="s">
        <v>401</v>
      </c>
      <c r="D149" s="1" t="s">
        <v>404</v>
      </c>
      <c r="E149" s="1" t="s">
        <v>407</v>
      </c>
      <c r="F149" s="1" t="s">
        <v>410</v>
      </c>
      <c r="G149" s="4">
        <v>1856.83</v>
      </c>
      <c r="H149" s="5">
        <v>1</v>
      </c>
      <c r="I149" s="6">
        <v>0.1</v>
      </c>
      <c r="J149" s="4">
        <v>16.89</v>
      </c>
      <c r="K149">
        <f>YEAR(B149)</f>
        <v>2020</v>
      </c>
      <c r="L149" t="str">
        <f>TEXT(B149,"mmm")</f>
        <v>Dec</v>
      </c>
      <c r="M149" s="6">
        <f>J149/G149</f>
        <v>9.0961477356570081E-3</v>
      </c>
      <c r="N149" s="8">
        <f t="shared" si="10"/>
        <v>731.65169811320754</v>
      </c>
      <c r="O149" s="8">
        <f t="shared" si="11"/>
        <v>743.13</v>
      </c>
      <c r="P149" s="9">
        <f t="shared" si="12"/>
        <v>605.89483090884755</v>
      </c>
      <c r="Q149">
        <f t="shared" si="13"/>
        <v>367108.54612206103</v>
      </c>
      <c r="R149" s="4">
        <f t="shared" si="14"/>
        <v>1954.1399999999999</v>
      </c>
    </row>
    <row r="150" spans="1:18" x14ac:dyDescent="0.3">
      <c r="A150" s="1" t="s">
        <v>128</v>
      </c>
      <c r="B150" s="3" t="s">
        <v>326</v>
      </c>
      <c r="C150" s="1" t="s">
        <v>398</v>
      </c>
      <c r="D150" s="1" t="s">
        <v>404</v>
      </c>
      <c r="E150" s="1" t="s">
        <v>406</v>
      </c>
      <c r="F150" s="1" t="s">
        <v>409</v>
      </c>
      <c r="G150" s="4">
        <v>901.77</v>
      </c>
      <c r="H150" s="5">
        <v>9</v>
      </c>
      <c r="I150" s="6">
        <v>0</v>
      </c>
      <c r="J150" s="4">
        <v>15.71</v>
      </c>
      <c r="K150">
        <f>YEAR(B150)</f>
        <v>2020</v>
      </c>
      <c r="L150" t="str">
        <f>TEXT(B150,"mmm")</f>
        <v>Jul</v>
      </c>
      <c r="M150" s="6">
        <f>J150/G150</f>
        <v>1.7421293677988847E-2</v>
      </c>
      <c r="N150" s="8">
        <f t="shared" si="10"/>
        <v>710.01365384615394</v>
      </c>
      <c r="O150" s="8">
        <f t="shared" si="11"/>
        <v>699.04500000000007</v>
      </c>
      <c r="P150" s="9">
        <f t="shared" si="12"/>
        <v>590.76672562526346</v>
      </c>
      <c r="Q150">
        <f t="shared" si="13"/>
        <v>349005.3241059953</v>
      </c>
      <c r="R150" s="4">
        <f t="shared" si="14"/>
        <v>1954.1399999999999</v>
      </c>
    </row>
    <row r="151" spans="1:18" x14ac:dyDescent="0.3">
      <c r="A151" s="1" t="s">
        <v>82</v>
      </c>
      <c r="B151" s="3" t="s">
        <v>282</v>
      </c>
      <c r="C151" s="1" t="s">
        <v>401</v>
      </c>
      <c r="D151" s="1" t="s">
        <v>403</v>
      </c>
      <c r="E151" s="1" t="s">
        <v>406</v>
      </c>
      <c r="F151" s="1" t="s">
        <v>410</v>
      </c>
      <c r="G151" s="4">
        <v>239.55</v>
      </c>
      <c r="H151" s="5">
        <v>3</v>
      </c>
      <c r="I151" s="6">
        <v>0</v>
      </c>
      <c r="J151" s="4">
        <v>14.45</v>
      </c>
      <c r="K151">
        <f>YEAR(B151)</f>
        <v>2020</v>
      </c>
      <c r="L151" t="str">
        <f>TEXT(B151,"mmm")</f>
        <v>May</v>
      </c>
      <c r="M151" s="6">
        <f>J151/G151</f>
        <v>6.0321436025881858E-2</v>
      </c>
      <c r="N151" s="8">
        <f t="shared" si="10"/>
        <v>706.2537254901963</v>
      </c>
      <c r="O151" s="8">
        <f t="shared" si="11"/>
        <v>654.96</v>
      </c>
      <c r="P151" s="9">
        <f t="shared" si="12"/>
        <v>596.01644344753015</v>
      </c>
      <c r="Q151">
        <f t="shared" si="13"/>
        <v>355235.60085984296</v>
      </c>
      <c r="R151" s="4">
        <f t="shared" si="14"/>
        <v>1954.1399999999999</v>
      </c>
    </row>
    <row r="152" spans="1:18" x14ac:dyDescent="0.3">
      <c r="A152" s="1" t="s">
        <v>48</v>
      </c>
      <c r="B152" s="3" t="s">
        <v>248</v>
      </c>
      <c r="C152" s="1" t="s">
        <v>399</v>
      </c>
      <c r="D152" s="1" t="s">
        <v>402</v>
      </c>
      <c r="E152" s="1" t="s">
        <v>408</v>
      </c>
      <c r="F152" s="1" t="s">
        <v>410</v>
      </c>
      <c r="G152" s="4">
        <v>136.01</v>
      </c>
      <c r="H152" s="5">
        <v>6</v>
      </c>
      <c r="I152" s="6">
        <v>0.1</v>
      </c>
      <c r="J152" s="4">
        <v>13.82</v>
      </c>
      <c r="K152">
        <f>YEAR(B152)</f>
        <v>2021</v>
      </c>
      <c r="L152" t="str">
        <f>TEXT(B152,"mmm")</f>
        <v>Feb</v>
      </c>
      <c r="M152" s="6">
        <f>J152/G152</f>
        <v>0.10161017572237337</v>
      </c>
      <c r="N152" s="8">
        <f t="shared" si="10"/>
        <v>715.58780000000013</v>
      </c>
      <c r="O152" s="8">
        <f t="shared" si="11"/>
        <v>699.04500000000007</v>
      </c>
      <c r="P152" s="9">
        <f t="shared" si="12"/>
        <v>598.290275399758</v>
      </c>
      <c r="Q152">
        <f t="shared" si="13"/>
        <v>357951.25363791827</v>
      </c>
      <c r="R152" s="4">
        <f t="shared" si="14"/>
        <v>1954.1399999999999</v>
      </c>
    </row>
    <row r="153" spans="1:18" x14ac:dyDescent="0.3">
      <c r="A153" s="1" t="s">
        <v>51</v>
      </c>
      <c r="B153" s="3" t="s">
        <v>251</v>
      </c>
      <c r="C153" s="1" t="s">
        <v>401</v>
      </c>
      <c r="D153" s="1" t="s">
        <v>403</v>
      </c>
      <c r="E153" s="1" t="s">
        <v>407</v>
      </c>
      <c r="F153" s="1" t="s">
        <v>410</v>
      </c>
      <c r="G153" s="4">
        <v>1832.85</v>
      </c>
      <c r="H153" s="5">
        <v>2</v>
      </c>
      <c r="I153" s="6">
        <v>0.2</v>
      </c>
      <c r="J153" s="4">
        <v>13.09</v>
      </c>
      <c r="K153">
        <f>YEAR(B153)</f>
        <v>2020</v>
      </c>
      <c r="L153" t="str">
        <f>TEXT(B153,"mmm")</f>
        <v>Nov</v>
      </c>
      <c r="M153" s="6">
        <f>J153/G153</f>
        <v>7.1418828600267343E-3</v>
      </c>
      <c r="N153" s="8">
        <f t="shared" si="10"/>
        <v>727.41591836734699</v>
      </c>
      <c r="O153" s="8">
        <f t="shared" si="11"/>
        <v>743.13</v>
      </c>
      <c r="P153" s="9">
        <f t="shared" si="12"/>
        <v>598.55460777024598</v>
      </c>
      <c r="Q153">
        <f t="shared" si="13"/>
        <v>358267.61848299304</v>
      </c>
      <c r="R153" s="4">
        <f t="shared" si="14"/>
        <v>1954.1399999999999</v>
      </c>
    </row>
    <row r="154" spans="1:18" x14ac:dyDescent="0.3">
      <c r="A154" s="1" t="s">
        <v>11</v>
      </c>
      <c r="B154" s="3" t="s">
        <v>211</v>
      </c>
      <c r="C154" s="1" t="s">
        <v>399</v>
      </c>
      <c r="D154" s="1" t="s">
        <v>403</v>
      </c>
      <c r="E154" s="1" t="s">
        <v>406</v>
      </c>
      <c r="F154" s="1" t="s">
        <v>410</v>
      </c>
      <c r="G154" s="4">
        <v>407.28</v>
      </c>
      <c r="H154" s="5">
        <v>7</v>
      </c>
      <c r="I154" s="6">
        <v>0</v>
      </c>
      <c r="J154" s="4">
        <v>11.61</v>
      </c>
      <c r="K154">
        <f>YEAR(B154)</f>
        <v>2023</v>
      </c>
      <c r="L154" t="str">
        <f>TEXT(B154,"mmm")</f>
        <v>Mar</v>
      </c>
      <c r="M154" s="6">
        <f>J154/G154</f>
        <v>2.8506187389510902E-2</v>
      </c>
      <c r="N154" s="8">
        <f t="shared" si="10"/>
        <v>704.38604166666676</v>
      </c>
      <c r="O154" s="8">
        <f t="shared" si="11"/>
        <v>699.04500000000007</v>
      </c>
      <c r="P154" s="9">
        <f t="shared" si="12"/>
        <v>582.53669718662741</v>
      </c>
      <c r="Q154">
        <f t="shared" si="13"/>
        <v>339349.00356910442</v>
      </c>
      <c r="R154" s="4">
        <f t="shared" si="14"/>
        <v>1954.1399999999999</v>
      </c>
    </row>
    <row r="155" spans="1:18" x14ac:dyDescent="0.3">
      <c r="A155" s="1" t="s">
        <v>44</v>
      </c>
      <c r="B155" s="3" t="s">
        <v>244</v>
      </c>
      <c r="C155" s="1" t="s">
        <v>400</v>
      </c>
      <c r="D155" s="1" t="s">
        <v>402</v>
      </c>
      <c r="E155" s="1" t="s">
        <v>407</v>
      </c>
      <c r="F155" s="1" t="s">
        <v>411</v>
      </c>
      <c r="G155" s="4">
        <v>160.66999999999999</v>
      </c>
      <c r="H155" s="5">
        <v>3</v>
      </c>
      <c r="I155" s="6">
        <v>0.1</v>
      </c>
      <c r="J155" s="4">
        <v>11.57</v>
      </c>
      <c r="K155">
        <f>YEAR(B155)</f>
        <v>2021</v>
      </c>
      <c r="L155" t="str">
        <f>TEXT(B155,"mmm")</f>
        <v>May</v>
      </c>
      <c r="M155" s="6">
        <f>J155/G155</f>
        <v>7.2010954129582375E-2</v>
      </c>
      <c r="N155" s="8">
        <f t="shared" si="10"/>
        <v>710.70744680851078</v>
      </c>
      <c r="O155" s="8">
        <f t="shared" si="11"/>
        <v>743.13</v>
      </c>
      <c r="P155" s="9">
        <f t="shared" si="12"/>
        <v>587.16809385117097</v>
      </c>
      <c r="Q155">
        <f t="shared" si="13"/>
        <v>344766.37043681747</v>
      </c>
      <c r="R155" s="4">
        <f t="shared" si="14"/>
        <v>1954.1399999999999</v>
      </c>
    </row>
    <row r="156" spans="1:18" x14ac:dyDescent="0.3">
      <c r="A156" s="1" t="s">
        <v>202</v>
      </c>
      <c r="B156" s="3" t="s">
        <v>291</v>
      </c>
      <c r="C156" s="1" t="s">
        <v>400</v>
      </c>
      <c r="D156" s="1" t="s">
        <v>402</v>
      </c>
      <c r="E156" s="1" t="s">
        <v>407</v>
      </c>
      <c r="F156" s="1" t="s">
        <v>410</v>
      </c>
      <c r="G156" s="4">
        <v>153.15</v>
      </c>
      <c r="H156" s="5">
        <v>8</v>
      </c>
      <c r="I156" s="6">
        <v>0.3</v>
      </c>
      <c r="J156" s="4">
        <v>11.56</v>
      </c>
      <c r="K156">
        <f>YEAR(B156)</f>
        <v>2022</v>
      </c>
      <c r="L156" t="str">
        <f>TEXT(B156,"mmm")</f>
        <v>Apr</v>
      </c>
      <c r="M156" s="6">
        <f>J156/G156</f>
        <v>7.5481554031994774E-2</v>
      </c>
      <c r="N156" s="8">
        <f t="shared" si="10"/>
        <v>722.66478260869587</v>
      </c>
      <c r="O156" s="8">
        <f t="shared" si="11"/>
        <v>743.41000000000008</v>
      </c>
      <c r="P156" s="9">
        <f t="shared" si="12"/>
        <v>587.84228543883376</v>
      </c>
      <c r="Q156">
        <f t="shared" si="13"/>
        <v>345558.55254995136</v>
      </c>
      <c r="R156" s="4">
        <f t="shared" si="14"/>
        <v>1954.1399999999999</v>
      </c>
    </row>
    <row r="157" spans="1:18" x14ac:dyDescent="0.3">
      <c r="A157" s="1" t="s">
        <v>181</v>
      </c>
      <c r="B157" s="3" t="s">
        <v>375</v>
      </c>
      <c r="C157" s="1" t="s">
        <v>401</v>
      </c>
      <c r="D157" s="1" t="s">
        <v>403</v>
      </c>
      <c r="E157" s="1" t="s">
        <v>408</v>
      </c>
      <c r="F157" s="1" t="s">
        <v>410</v>
      </c>
      <c r="G157" s="4">
        <v>79.05</v>
      </c>
      <c r="H157" s="5">
        <v>6</v>
      </c>
      <c r="I157" s="6">
        <v>0</v>
      </c>
      <c r="J157" s="4">
        <v>11.3</v>
      </c>
      <c r="K157">
        <f>YEAR(B157)</f>
        <v>2023</v>
      </c>
      <c r="L157" t="str">
        <f>TEXT(B157,"mmm")</f>
        <v>Mar</v>
      </c>
      <c r="M157" s="6">
        <f>J157/G157</f>
        <v>0.1429475015812777</v>
      </c>
      <c r="N157" s="8">
        <f t="shared" si="10"/>
        <v>735.32066666666685</v>
      </c>
      <c r="O157" s="8">
        <f t="shared" si="11"/>
        <v>743.69</v>
      </c>
      <c r="P157" s="9">
        <f t="shared" si="12"/>
        <v>588.11293102446029</v>
      </c>
      <c r="Q157">
        <f t="shared" si="13"/>
        <v>345876.81963818154</v>
      </c>
      <c r="R157" s="4">
        <f t="shared" si="14"/>
        <v>1954.1399999999999</v>
      </c>
    </row>
    <row r="158" spans="1:18" x14ac:dyDescent="0.3">
      <c r="A158" s="1" t="s">
        <v>129</v>
      </c>
      <c r="B158" s="3" t="s">
        <v>327</v>
      </c>
      <c r="C158" s="1" t="s">
        <v>398</v>
      </c>
      <c r="D158" s="1" t="s">
        <v>403</v>
      </c>
      <c r="E158" s="1" t="s">
        <v>405</v>
      </c>
      <c r="F158" s="1" t="s">
        <v>409</v>
      </c>
      <c r="G158" s="4">
        <v>770.91</v>
      </c>
      <c r="H158" s="5">
        <v>4</v>
      </c>
      <c r="I158" s="6">
        <v>0.2</v>
      </c>
      <c r="J158" s="4">
        <v>11.16</v>
      </c>
      <c r="K158">
        <f>YEAR(B158)</f>
        <v>2022</v>
      </c>
      <c r="L158" t="str">
        <f>TEXT(B158,"mmm")</f>
        <v>Sep</v>
      </c>
      <c r="M158" s="6">
        <f>J158/G158</f>
        <v>1.4476398023115539E-2</v>
      </c>
      <c r="N158" s="8">
        <f t="shared" si="10"/>
        <v>750.23590909090922</v>
      </c>
      <c r="O158" s="8">
        <f t="shared" si="11"/>
        <v>750.65000000000009</v>
      </c>
      <c r="P158" s="9">
        <f t="shared" si="12"/>
        <v>586.23950260971355</v>
      </c>
      <c r="Q158">
        <f t="shared" si="13"/>
        <v>343676.7544200843</v>
      </c>
      <c r="R158" s="4">
        <f t="shared" si="14"/>
        <v>1954.1399999999999</v>
      </c>
    </row>
    <row r="159" spans="1:18" x14ac:dyDescent="0.3">
      <c r="A159" s="1" t="s">
        <v>191</v>
      </c>
      <c r="B159" s="3" t="s">
        <v>384</v>
      </c>
      <c r="C159" s="1" t="s">
        <v>401</v>
      </c>
      <c r="D159" s="1" t="s">
        <v>403</v>
      </c>
      <c r="E159" s="1" t="s">
        <v>407</v>
      </c>
      <c r="F159" s="1" t="s">
        <v>410</v>
      </c>
      <c r="G159" s="4">
        <v>248.32</v>
      </c>
      <c r="H159" s="5">
        <v>1</v>
      </c>
      <c r="I159" s="6">
        <v>0.3</v>
      </c>
      <c r="J159" s="4">
        <v>10.41</v>
      </c>
      <c r="K159">
        <f>YEAR(B159)</f>
        <v>2022</v>
      </c>
      <c r="L159" t="str">
        <f>TEXT(B159,"mmm")</f>
        <v>Aug</v>
      </c>
      <c r="M159" s="6">
        <f>J159/G159</f>
        <v>4.1921713917525777E-2</v>
      </c>
      <c r="N159" s="8">
        <f t="shared" si="10"/>
        <v>749.75511627906997</v>
      </c>
      <c r="O159" s="8">
        <f t="shared" si="11"/>
        <v>743.69</v>
      </c>
      <c r="P159" s="9">
        <f t="shared" si="12"/>
        <v>593.168712089378</v>
      </c>
      <c r="Q159">
        <f t="shared" si="13"/>
        <v>351849.12100177142</v>
      </c>
      <c r="R159" s="4">
        <f t="shared" si="14"/>
        <v>1954.1399999999999</v>
      </c>
    </row>
    <row r="160" spans="1:18" x14ac:dyDescent="0.3">
      <c r="A160" s="1" t="s">
        <v>197</v>
      </c>
      <c r="B160" s="3" t="s">
        <v>388</v>
      </c>
      <c r="C160" s="1" t="s">
        <v>401</v>
      </c>
      <c r="D160" s="1" t="s">
        <v>403</v>
      </c>
      <c r="E160" s="1" t="s">
        <v>406</v>
      </c>
      <c r="F160" s="1" t="s">
        <v>411</v>
      </c>
      <c r="G160" s="4">
        <v>654.96</v>
      </c>
      <c r="H160" s="5">
        <v>4</v>
      </c>
      <c r="I160" s="6">
        <v>0</v>
      </c>
      <c r="J160" s="4">
        <v>9.2100000000000009</v>
      </c>
      <c r="K160">
        <f>YEAR(B160)</f>
        <v>2020</v>
      </c>
      <c r="L160" t="str">
        <f>TEXT(B160,"mmm")</f>
        <v>Sep</v>
      </c>
      <c r="M160" s="6">
        <f>J160/G160</f>
        <v>1.4061927445950898E-2</v>
      </c>
      <c r="N160" s="8">
        <f t="shared" si="10"/>
        <v>761.69404761904786</v>
      </c>
      <c r="O160" s="8">
        <f t="shared" si="11"/>
        <v>750.65000000000009</v>
      </c>
      <c r="P160" s="9">
        <f t="shared" si="12"/>
        <v>595.10686285315523</v>
      </c>
      <c r="Q160">
        <f t="shared" si="13"/>
        <v>354152.17821492412</v>
      </c>
      <c r="R160" s="4">
        <f t="shared" si="14"/>
        <v>1954.1399999999999</v>
      </c>
    </row>
    <row r="161" spans="1:18" x14ac:dyDescent="0.3">
      <c r="A161" s="1" t="s">
        <v>15</v>
      </c>
      <c r="B161" s="3" t="s">
        <v>215</v>
      </c>
      <c r="C161" s="1" t="s">
        <v>399</v>
      </c>
      <c r="D161" s="1" t="s">
        <v>402</v>
      </c>
      <c r="E161" s="1" t="s">
        <v>406</v>
      </c>
      <c r="F161" s="1" t="s">
        <v>411</v>
      </c>
      <c r="G161" s="4">
        <v>89.97</v>
      </c>
      <c r="H161" s="5">
        <v>7</v>
      </c>
      <c r="I161" s="6">
        <v>0</v>
      </c>
      <c r="J161" s="4">
        <v>7.55</v>
      </c>
      <c r="K161">
        <f>YEAR(B161)</f>
        <v>2023</v>
      </c>
      <c r="L161" t="str">
        <f>TEXT(B161,"mmm")</f>
        <v>Jul</v>
      </c>
      <c r="M161" s="6">
        <f>J161/G161</f>
        <v>8.3916861175947544E-2</v>
      </c>
      <c r="N161" s="8">
        <f t="shared" si="10"/>
        <v>764.2973170731708</v>
      </c>
      <c r="O161" s="8">
        <f t="shared" si="11"/>
        <v>757.61</v>
      </c>
      <c r="P161" s="9">
        <f t="shared" si="12"/>
        <v>602.25761291171898</v>
      </c>
      <c r="Q161">
        <f t="shared" si="13"/>
        <v>362714.23231012188</v>
      </c>
      <c r="R161" s="4">
        <f t="shared" si="14"/>
        <v>1954.1399999999999</v>
      </c>
    </row>
    <row r="162" spans="1:18" x14ac:dyDescent="0.3">
      <c r="A162" s="1" t="s">
        <v>173</v>
      </c>
      <c r="B162" s="3" t="s">
        <v>369</v>
      </c>
      <c r="C162" s="1" t="s">
        <v>398</v>
      </c>
      <c r="D162" s="1" t="s">
        <v>403</v>
      </c>
      <c r="E162" s="1" t="s">
        <v>405</v>
      </c>
      <c r="F162" s="1" t="s">
        <v>411</v>
      </c>
      <c r="G162" s="4">
        <v>166.41</v>
      </c>
      <c r="H162" s="5">
        <v>9</v>
      </c>
      <c r="I162" s="6">
        <v>0.2</v>
      </c>
      <c r="J162" s="4">
        <v>7.31</v>
      </c>
      <c r="K162">
        <f>YEAR(B162)</f>
        <v>2021</v>
      </c>
      <c r="L162" t="str">
        <f>TEXT(B162,"mmm")</f>
        <v>Sep</v>
      </c>
      <c r="M162" s="6">
        <f>J162/G162</f>
        <v>4.3927648578811367E-2</v>
      </c>
      <c r="N162" s="8">
        <f t="shared" si="10"/>
        <v>781.15550000000019</v>
      </c>
      <c r="O162" s="8">
        <f t="shared" si="11"/>
        <v>765.27500000000009</v>
      </c>
      <c r="P162" s="9">
        <f t="shared" si="12"/>
        <v>600.05307518649442</v>
      </c>
      <c r="Q162">
        <f t="shared" si="13"/>
        <v>360063.69304076879</v>
      </c>
      <c r="R162" s="4">
        <f t="shared" si="14"/>
        <v>1954.1399999999999</v>
      </c>
    </row>
    <row r="163" spans="1:18" x14ac:dyDescent="0.3">
      <c r="A163" s="1" t="s">
        <v>10</v>
      </c>
      <c r="B163" s="3" t="s">
        <v>210</v>
      </c>
      <c r="C163" s="1" t="s">
        <v>398</v>
      </c>
      <c r="D163" s="1" t="s">
        <v>402</v>
      </c>
      <c r="E163" s="1" t="s">
        <v>405</v>
      </c>
      <c r="F163" s="1" t="s">
        <v>409</v>
      </c>
      <c r="G163" s="4">
        <v>39.82</v>
      </c>
      <c r="H163" s="5">
        <v>5</v>
      </c>
      <c r="I163" s="6">
        <v>0.3</v>
      </c>
      <c r="J163" s="4">
        <v>5.73</v>
      </c>
      <c r="K163">
        <f>YEAR(B163)</f>
        <v>2020</v>
      </c>
      <c r="L163" t="str">
        <f>TEXT(B163,"mmm")</f>
        <v>Aug</v>
      </c>
      <c r="M163" s="6">
        <f>J163/G163</f>
        <v>0.14389753892516324</v>
      </c>
      <c r="N163" s="8">
        <f t="shared" si="10"/>
        <v>796.91820512820527</v>
      </c>
      <c r="O163" s="8">
        <f t="shared" si="11"/>
        <v>772.94</v>
      </c>
      <c r="P163" s="9">
        <f t="shared" si="12"/>
        <v>599.44891241816833</v>
      </c>
      <c r="Q163">
        <f t="shared" si="13"/>
        <v>359338.99859932484</v>
      </c>
      <c r="R163" s="4">
        <f t="shared" si="14"/>
        <v>1954.1399999999999</v>
      </c>
    </row>
    <row r="164" spans="1:18" x14ac:dyDescent="0.3">
      <c r="A164" s="1" t="s">
        <v>18</v>
      </c>
      <c r="B164" s="3" t="s">
        <v>218</v>
      </c>
      <c r="C164" s="1" t="s">
        <v>399</v>
      </c>
      <c r="D164" s="1" t="s">
        <v>402</v>
      </c>
      <c r="E164" s="1" t="s">
        <v>408</v>
      </c>
      <c r="F164" s="1" t="s">
        <v>410</v>
      </c>
      <c r="G164" s="4">
        <v>125.89</v>
      </c>
      <c r="H164" s="5">
        <v>10</v>
      </c>
      <c r="I164" s="6">
        <v>0</v>
      </c>
      <c r="J164" s="4">
        <v>5.54</v>
      </c>
      <c r="K164">
        <f>YEAR(B164)</f>
        <v>2021</v>
      </c>
      <c r="L164" t="str">
        <f>TEXT(B164,"mmm")</f>
        <v>Oct</v>
      </c>
      <c r="M164" s="6">
        <f>J164/G164</f>
        <v>4.4006672491857975E-2</v>
      </c>
      <c r="N164" s="8">
        <f t="shared" si="10"/>
        <v>816.84184210526325</v>
      </c>
      <c r="O164" s="8">
        <f t="shared" si="11"/>
        <v>792.94</v>
      </c>
      <c r="P164" s="9">
        <f t="shared" si="12"/>
        <v>594.2653903627579</v>
      </c>
      <c r="Q164">
        <f t="shared" si="13"/>
        <v>353151.35418300098</v>
      </c>
      <c r="R164" s="4">
        <f t="shared" si="14"/>
        <v>1954.1399999999999</v>
      </c>
    </row>
    <row r="165" spans="1:18" x14ac:dyDescent="0.3">
      <c r="A165" s="1" t="s">
        <v>84</v>
      </c>
      <c r="B165" s="3" t="s">
        <v>284</v>
      </c>
      <c r="C165" s="1" t="s">
        <v>399</v>
      </c>
      <c r="D165" s="1" t="s">
        <v>403</v>
      </c>
      <c r="E165" s="1" t="s">
        <v>407</v>
      </c>
      <c r="F165" s="1" t="s">
        <v>410</v>
      </c>
      <c r="G165" s="4">
        <v>121.63</v>
      </c>
      <c r="H165" s="5">
        <v>8</v>
      </c>
      <c r="I165" s="6">
        <v>0.3</v>
      </c>
      <c r="J165" s="4">
        <v>2.27</v>
      </c>
      <c r="K165">
        <f>YEAR(B165)</f>
        <v>2022</v>
      </c>
      <c r="L165" t="str">
        <f>TEXT(B165,"mmm")</f>
        <v>Sep</v>
      </c>
      <c r="M165" s="6">
        <f>J165/G165</f>
        <v>1.8663158760174301E-2</v>
      </c>
      <c r="N165" s="8">
        <f t="shared" si="10"/>
        <v>835.51621621621632</v>
      </c>
      <c r="O165" s="8">
        <f t="shared" si="11"/>
        <v>812.94</v>
      </c>
      <c r="P165" s="9">
        <f t="shared" si="12"/>
        <v>591.05091347414248</v>
      </c>
      <c r="Q165">
        <f t="shared" si="13"/>
        <v>349341.18231861829</v>
      </c>
      <c r="R165" s="4">
        <f t="shared" si="14"/>
        <v>1954.1399999999999</v>
      </c>
    </row>
    <row r="166" spans="1:18" x14ac:dyDescent="0.3">
      <c r="A166" s="1" t="s">
        <v>109</v>
      </c>
      <c r="B166" s="3" t="s">
        <v>308</v>
      </c>
      <c r="C166" s="1" t="s">
        <v>398</v>
      </c>
      <c r="D166" s="1" t="s">
        <v>402</v>
      </c>
      <c r="E166" s="1" t="s">
        <v>406</v>
      </c>
      <c r="F166" s="1" t="s">
        <v>409</v>
      </c>
      <c r="G166" s="4">
        <v>351.71</v>
      </c>
      <c r="H166" s="5">
        <v>4</v>
      </c>
      <c r="I166" s="6">
        <v>0</v>
      </c>
      <c r="J166" s="4">
        <v>2.2599999999999998</v>
      </c>
      <c r="K166">
        <f>YEAR(B166)</f>
        <v>2021</v>
      </c>
      <c r="L166" t="str">
        <f>TEXT(B166,"mmm")</f>
        <v>Nov</v>
      </c>
      <c r="M166" s="6">
        <f>J166/G166</f>
        <v>6.4257484859685538E-3</v>
      </c>
      <c r="N166" s="8">
        <f t="shared" si="10"/>
        <v>855.3463888888889</v>
      </c>
      <c r="O166" s="8">
        <f t="shared" si="11"/>
        <v>817.18000000000006</v>
      </c>
      <c r="P166" s="9">
        <f t="shared" si="12"/>
        <v>586.81933327851789</v>
      </c>
      <c r="Q166">
        <f t="shared" si="13"/>
        <v>344356.9299094443</v>
      </c>
      <c r="R166" s="4">
        <f t="shared" si="14"/>
        <v>1954.1399999999999</v>
      </c>
    </row>
    <row r="167" spans="1:18" x14ac:dyDescent="0.3">
      <c r="A167" s="1" t="s">
        <v>141</v>
      </c>
      <c r="B167" s="3" t="s">
        <v>339</v>
      </c>
      <c r="C167" s="1" t="s">
        <v>398</v>
      </c>
      <c r="D167" s="1" t="s">
        <v>403</v>
      </c>
      <c r="E167" s="1" t="s">
        <v>408</v>
      </c>
      <c r="F167" s="1" t="s">
        <v>409</v>
      </c>
      <c r="G167" s="4">
        <v>891.22</v>
      </c>
      <c r="H167" s="5">
        <v>7</v>
      </c>
      <c r="I167" s="6">
        <v>0</v>
      </c>
      <c r="J167" s="4">
        <v>1.9</v>
      </c>
      <c r="K167">
        <f>YEAR(B167)</f>
        <v>2020</v>
      </c>
      <c r="L167" t="str">
        <f>TEXT(B167,"mmm")</f>
        <v>Jul</v>
      </c>
      <c r="M167" s="6">
        <f>J167/G167</f>
        <v>2.1319090684679427E-3</v>
      </c>
      <c r="N167" s="8">
        <f t="shared" si="10"/>
        <v>869.7360000000001</v>
      </c>
      <c r="O167" s="8">
        <f t="shared" si="11"/>
        <v>821.42</v>
      </c>
      <c r="P167" s="9">
        <f t="shared" si="12"/>
        <v>588.90715843840758</v>
      </c>
      <c r="Q167">
        <f t="shared" si="13"/>
        <v>346811.64125999971</v>
      </c>
      <c r="R167" s="4">
        <f t="shared" si="14"/>
        <v>1954.1399999999999</v>
      </c>
    </row>
    <row r="168" spans="1:18" x14ac:dyDescent="0.3">
      <c r="A168" s="1" t="s">
        <v>116</v>
      </c>
      <c r="B168" s="3" t="s">
        <v>314</v>
      </c>
      <c r="C168" s="1" t="s">
        <v>401</v>
      </c>
      <c r="D168" s="1" t="s">
        <v>404</v>
      </c>
      <c r="E168" s="1" t="s">
        <v>405</v>
      </c>
      <c r="F168" s="1" t="s">
        <v>411</v>
      </c>
      <c r="G168" s="4">
        <v>19.16</v>
      </c>
      <c r="H168" s="5">
        <v>7</v>
      </c>
      <c r="I168" s="6">
        <v>0.2</v>
      </c>
      <c r="J168" s="4">
        <v>1.88</v>
      </c>
      <c r="K168">
        <f>YEAR(B168)</f>
        <v>2021</v>
      </c>
      <c r="L168" t="str">
        <f>TEXT(B168,"mmm")</f>
        <v>Jun</v>
      </c>
      <c r="M168" s="6">
        <f>J168/G168</f>
        <v>9.8121085594989554E-2</v>
      </c>
      <c r="N168" s="8">
        <f t="shared" si="10"/>
        <v>869.10411764705884</v>
      </c>
      <c r="O168" s="8">
        <f t="shared" si="11"/>
        <v>817.18000000000006</v>
      </c>
      <c r="P168" s="9">
        <f t="shared" si="12"/>
        <v>597.75135869770736</v>
      </c>
      <c r="Q168">
        <f t="shared" si="13"/>
        <v>357306.68682495516</v>
      </c>
      <c r="R168" s="4">
        <f t="shared" si="14"/>
        <v>1954.1399999999999</v>
      </c>
    </row>
    <row r="169" spans="1:18" x14ac:dyDescent="0.3">
      <c r="A169" s="1" t="s">
        <v>72</v>
      </c>
      <c r="B169" s="3" t="s">
        <v>272</v>
      </c>
      <c r="C169" s="1" t="s">
        <v>400</v>
      </c>
      <c r="D169" s="1" t="s">
        <v>403</v>
      </c>
      <c r="E169" s="1" t="s">
        <v>407</v>
      </c>
      <c r="F169" s="1" t="s">
        <v>411</v>
      </c>
      <c r="G169" s="4">
        <v>22.42</v>
      </c>
      <c r="H169" s="5">
        <v>6</v>
      </c>
      <c r="I169" s="6">
        <v>0.1</v>
      </c>
      <c r="J169" s="4">
        <v>1.85</v>
      </c>
      <c r="K169">
        <f>YEAR(B169)</f>
        <v>2020</v>
      </c>
      <c r="L169" t="str">
        <f>TEXT(B169,"mmm")</f>
        <v>Nov</v>
      </c>
      <c r="M169" s="6">
        <f>J169/G169</f>
        <v>8.2515611061552183E-2</v>
      </c>
      <c r="N169" s="8">
        <f t="shared" si="10"/>
        <v>894.86000000000013</v>
      </c>
      <c r="O169" s="8">
        <f t="shared" si="11"/>
        <v>821.42</v>
      </c>
      <c r="P169" s="9">
        <f t="shared" si="12"/>
        <v>587.54852462902966</v>
      </c>
      <c r="Q169">
        <f t="shared" si="13"/>
        <v>345213.26879374951</v>
      </c>
      <c r="R169" s="4">
        <f t="shared" si="14"/>
        <v>1950.8799999999999</v>
      </c>
    </row>
    <row r="170" spans="1:18" x14ac:dyDescent="0.3">
      <c r="A170" s="1" t="s">
        <v>38</v>
      </c>
      <c r="B170" s="3" t="s">
        <v>238</v>
      </c>
      <c r="C170" s="1" t="s">
        <v>399</v>
      </c>
      <c r="D170" s="1" t="s">
        <v>402</v>
      </c>
      <c r="E170" s="1" t="s">
        <v>405</v>
      </c>
      <c r="F170" s="1" t="s">
        <v>411</v>
      </c>
      <c r="G170" s="4">
        <v>1973.3</v>
      </c>
      <c r="H170" s="5">
        <v>4</v>
      </c>
      <c r="I170" s="6">
        <v>0.3</v>
      </c>
      <c r="J170" s="4">
        <v>1.5</v>
      </c>
      <c r="K170">
        <f>YEAR(B170)</f>
        <v>2023</v>
      </c>
      <c r="L170" t="str">
        <f>TEXT(B170,"mmm")</f>
        <v>Jul</v>
      </c>
      <c r="M170" s="6">
        <f>J170/G170</f>
        <v>7.6014797547255871E-4</v>
      </c>
      <c r="N170" s="8">
        <f t="shared" si="10"/>
        <v>922.12374999999997</v>
      </c>
      <c r="O170" s="8">
        <f t="shared" si="11"/>
        <v>821.43000000000006</v>
      </c>
      <c r="P170" s="9">
        <f t="shared" si="12"/>
        <v>575.35086242671207</v>
      </c>
      <c r="Q170">
        <f t="shared" si="13"/>
        <v>331028.61489516136</v>
      </c>
      <c r="R170" s="4">
        <f t="shared" si="14"/>
        <v>1950.62</v>
      </c>
    </row>
    <row r="171" spans="1:18" x14ac:dyDescent="0.3">
      <c r="A171" s="1" t="s">
        <v>60</v>
      </c>
      <c r="B171" s="3" t="s">
        <v>260</v>
      </c>
      <c r="C171" s="1" t="s">
        <v>399</v>
      </c>
      <c r="D171" s="1" t="s">
        <v>402</v>
      </c>
      <c r="E171" s="1" t="s">
        <v>405</v>
      </c>
      <c r="F171" s="1" t="s">
        <v>409</v>
      </c>
      <c r="G171" s="4">
        <v>998.14</v>
      </c>
      <c r="H171" s="5">
        <v>1</v>
      </c>
      <c r="I171" s="6">
        <v>0.3</v>
      </c>
      <c r="J171" s="4">
        <v>0.8</v>
      </c>
      <c r="K171">
        <f>YEAR(B171)</f>
        <v>2022</v>
      </c>
      <c r="L171" t="str">
        <f>TEXT(B171,"mmm")</f>
        <v>Dec</v>
      </c>
      <c r="M171" s="6">
        <f>J171/G171</f>
        <v>8.014907728374778E-4</v>
      </c>
      <c r="N171" s="8">
        <f t="shared" si="10"/>
        <v>888.21483870967757</v>
      </c>
      <c r="O171" s="8">
        <f t="shared" si="11"/>
        <v>821.42</v>
      </c>
      <c r="P171" s="9">
        <f t="shared" si="12"/>
        <v>551.40037815771666</v>
      </c>
      <c r="Q171">
        <f t="shared" si="13"/>
        <v>304042.37703247293</v>
      </c>
      <c r="R171" s="4">
        <f t="shared" si="14"/>
        <v>1850.46</v>
      </c>
    </row>
    <row r="172" spans="1:18" x14ac:dyDescent="0.3">
      <c r="A172" s="1" t="s">
        <v>177</v>
      </c>
      <c r="B172" s="3" t="s">
        <v>372</v>
      </c>
      <c r="C172" s="1" t="s">
        <v>401</v>
      </c>
      <c r="D172" s="1" t="s">
        <v>403</v>
      </c>
      <c r="E172" s="1" t="s">
        <v>408</v>
      </c>
      <c r="F172" s="1" t="s">
        <v>409</v>
      </c>
      <c r="G172" s="4">
        <v>22.68</v>
      </c>
      <c r="H172" s="5">
        <v>10</v>
      </c>
      <c r="I172" s="6">
        <v>0.2</v>
      </c>
      <c r="J172" s="4">
        <v>0.72</v>
      </c>
      <c r="K172">
        <f>YEAR(B172)</f>
        <v>2021</v>
      </c>
      <c r="L172" t="str">
        <f>TEXT(B172,"mmm")</f>
        <v>Dec</v>
      </c>
      <c r="M172" s="6">
        <f>J172/G172</f>
        <v>3.1746031746031744E-2</v>
      </c>
      <c r="N172" s="8">
        <f t="shared" si="10"/>
        <v>884.55066666666676</v>
      </c>
      <c r="O172" s="8">
        <f t="shared" si="11"/>
        <v>817.18000000000006</v>
      </c>
      <c r="P172" s="9">
        <f t="shared" si="12"/>
        <v>560.44271248001246</v>
      </c>
      <c r="Q172">
        <f t="shared" si="13"/>
        <v>314096.0339719539</v>
      </c>
      <c r="R172" s="4">
        <f t="shared" si="14"/>
        <v>1850.46</v>
      </c>
    </row>
    <row r="173" spans="1:18" x14ac:dyDescent="0.3">
      <c r="A173" s="1" t="s">
        <v>114</v>
      </c>
      <c r="B173" s="3" t="s">
        <v>286</v>
      </c>
      <c r="C173" s="1" t="s">
        <v>400</v>
      </c>
      <c r="D173" s="1" t="s">
        <v>402</v>
      </c>
      <c r="E173" s="1" t="s">
        <v>406</v>
      </c>
      <c r="F173" s="1" t="s">
        <v>410</v>
      </c>
      <c r="G173" s="4">
        <v>25.96</v>
      </c>
      <c r="H173" s="5">
        <v>2</v>
      </c>
      <c r="I173" s="6">
        <v>0.1</v>
      </c>
      <c r="J173" s="4">
        <v>0.4</v>
      </c>
      <c r="K173">
        <f>YEAR(B173)</f>
        <v>2022</v>
      </c>
      <c r="L173" t="str">
        <f>TEXT(B173,"mmm")</f>
        <v>Jan</v>
      </c>
      <c r="M173" s="6">
        <f>J173/G173</f>
        <v>1.5408320493066256E-2</v>
      </c>
      <c r="N173" s="8">
        <f t="shared" si="10"/>
        <v>914.27034482758631</v>
      </c>
      <c r="O173" s="8">
        <f t="shared" si="11"/>
        <v>821.42</v>
      </c>
      <c r="P173" s="9">
        <f t="shared" si="12"/>
        <v>545.77433262608486</v>
      </c>
      <c r="Q173">
        <f t="shared" si="13"/>
        <v>297869.62215344835</v>
      </c>
      <c r="R173" s="4">
        <f t="shared" si="14"/>
        <v>1847.18</v>
      </c>
    </row>
    <row r="174" spans="1:18" x14ac:dyDescent="0.3">
      <c r="A174" s="1" t="s">
        <v>139</v>
      </c>
      <c r="B174" s="3" t="s">
        <v>337</v>
      </c>
      <c r="C174" s="1" t="s">
        <v>400</v>
      </c>
      <c r="D174" s="1" t="s">
        <v>402</v>
      </c>
      <c r="E174" s="1" t="s">
        <v>405</v>
      </c>
      <c r="F174" s="1" t="s">
        <v>410</v>
      </c>
      <c r="G174" s="4">
        <v>129.1</v>
      </c>
      <c r="H174" s="5">
        <v>5</v>
      </c>
      <c r="I174" s="6">
        <v>0</v>
      </c>
      <c r="J174" s="4">
        <v>0.3</v>
      </c>
      <c r="K174">
        <f>YEAR(B174)</f>
        <v>2023</v>
      </c>
      <c r="L174" t="str">
        <f>TEXT(B174,"mmm")</f>
        <v>Oct</v>
      </c>
      <c r="M174" s="6">
        <f>J174/G174</f>
        <v>2.3237800154918666E-3</v>
      </c>
      <c r="N174" s="8">
        <f t="shared" si="10"/>
        <v>945.99571428571448</v>
      </c>
      <c r="O174" s="8">
        <f t="shared" si="11"/>
        <v>821.43000000000006</v>
      </c>
      <c r="P174" s="9">
        <f t="shared" si="12"/>
        <v>527.85632787459178</v>
      </c>
      <c r="Q174">
        <f t="shared" si="13"/>
        <v>278632.30287724856</v>
      </c>
      <c r="R174" s="4">
        <f t="shared" si="14"/>
        <v>1769.22</v>
      </c>
    </row>
    <row r="175" spans="1:18" x14ac:dyDescent="0.3">
      <c r="A175" s="1" t="s">
        <v>142</v>
      </c>
      <c r="B175" s="3" t="s">
        <v>340</v>
      </c>
      <c r="C175" s="1" t="s">
        <v>400</v>
      </c>
      <c r="D175" s="1" t="s">
        <v>403</v>
      </c>
      <c r="E175" s="1" t="s">
        <v>407</v>
      </c>
      <c r="F175" s="1" t="s">
        <v>410</v>
      </c>
      <c r="G175" s="4">
        <v>772.94</v>
      </c>
      <c r="H175" s="5">
        <v>8</v>
      </c>
      <c r="I175" s="6">
        <v>0.2</v>
      </c>
      <c r="J175" s="4">
        <v>-0.5</v>
      </c>
      <c r="K175">
        <f>YEAR(B175)</f>
        <v>2020</v>
      </c>
      <c r="L175" t="str">
        <f>TEXT(B175,"mmm")</f>
        <v>Oct</v>
      </c>
      <c r="M175" s="6">
        <f>J175/G175</f>
        <v>-6.4688074106657688E-4</v>
      </c>
      <c r="N175" s="8">
        <f t="shared" si="10"/>
        <v>976.2511111111113</v>
      </c>
      <c r="O175" s="8">
        <f t="shared" si="11"/>
        <v>821.44</v>
      </c>
      <c r="P175" s="9">
        <f t="shared" si="12"/>
        <v>512.57412468331972</v>
      </c>
      <c r="Q175">
        <f t="shared" si="13"/>
        <v>262732.2332948714</v>
      </c>
      <c r="R175" s="4">
        <f t="shared" si="14"/>
        <v>1769.22</v>
      </c>
    </row>
    <row r="176" spans="1:18" x14ac:dyDescent="0.3">
      <c r="A176" s="1" t="s">
        <v>156</v>
      </c>
      <c r="B176" s="3" t="s">
        <v>352</v>
      </c>
      <c r="C176" s="1" t="s">
        <v>401</v>
      </c>
      <c r="D176" s="1" t="s">
        <v>402</v>
      </c>
      <c r="E176" s="1" t="s">
        <v>407</v>
      </c>
      <c r="F176" s="1" t="s">
        <v>411</v>
      </c>
      <c r="G176" s="4">
        <v>821.44</v>
      </c>
      <c r="H176" s="5">
        <v>9</v>
      </c>
      <c r="I176" s="6">
        <v>0.3</v>
      </c>
      <c r="J176" s="4">
        <v>-1.96</v>
      </c>
      <c r="K176">
        <f>YEAR(B176)</f>
        <v>2022</v>
      </c>
      <c r="L176" t="str">
        <f>TEXT(B176,"mmm")</f>
        <v>Jul</v>
      </c>
      <c r="M176" s="6">
        <f>J176/G176</f>
        <v>-2.3860537592520449E-3</v>
      </c>
      <c r="N176" s="8">
        <f t="shared" si="10"/>
        <v>984.07076923076943</v>
      </c>
      <c r="O176" s="8">
        <f t="shared" si="11"/>
        <v>861.81</v>
      </c>
      <c r="P176" s="9">
        <f t="shared" si="12"/>
        <v>521.08014102955826</v>
      </c>
      <c r="Q176">
        <f t="shared" si="13"/>
        <v>271524.51337538438</v>
      </c>
      <c r="R176" s="4">
        <f t="shared" si="14"/>
        <v>1769.22</v>
      </c>
    </row>
    <row r="177" spans="1:18" x14ac:dyDescent="0.3">
      <c r="A177" s="1" t="s">
        <v>36</v>
      </c>
      <c r="B177" s="3" t="s">
        <v>236</v>
      </c>
      <c r="C177" s="1" t="s">
        <v>399</v>
      </c>
      <c r="D177" s="1" t="s">
        <v>403</v>
      </c>
      <c r="E177" s="1" t="s">
        <v>405</v>
      </c>
      <c r="F177" s="1" t="s">
        <v>411</v>
      </c>
      <c r="G177" s="4">
        <v>821.42</v>
      </c>
      <c r="H177" s="5">
        <v>1</v>
      </c>
      <c r="I177" s="6">
        <v>0.3</v>
      </c>
      <c r="J177" s="4">
        <v>-2.46</v>
      </c>
      <c r="K177">
        <f>YEAR(B177)</f>
        <v>2023</v>
      </c>
      <c r="L177" t="str">
        <f>TEXT(B177,"mmm")</f>
        <v>Feb</v>
      </c>
      <c r="M177" s="6">
        <f>J177/G177</f>
        <v>-2.9948138589272239E-3</v>
      </c>
      <c r="N177" s="8">
        <f t="shared" si="10"/>
        <v>990.57600000000002</v>
      </c>
      <c r="O177" s="8">
        <f t="shared" si="11"/>
        <v>902.18</v>
      </c>
      <c r="P177" s="9">
        <f t="shared" si="12"/>
        <v>530.74656996065482</v>
      </c>
      <c r="Q177">
        <f t="shared" si="13"/>
        <v>281691.9215250003</v>
      </c>
      <c r="R177" s="4">
        <f t="shared" si="14"/>
        <v>1769.22</v>
      </c>
    </row>
    <row r="178" spans="1:18" x14ac:dyDescent="0.3">
      <c r="A178" s="1" t="s">
        <v>22</v>
      </c>
      <c r="B178" s="3" t="s">
        <v>222</v>
      </c>
      <c r="C178" s="1" t="s">
        <v>399</v>
      </c>
      <c r="D178" s="1" t="s">
        <v>402</v>
      </c>
      <c r="E178" s="1" t="s">
        <v>405</v>
      </c>
      <c r="F178" s="1" t="s">
        <v>411</v>
      </c>
      <c r="G178" s="4">
        <v>1135.53</v>
      </c>
      <c r="H178" s="5">
        <v>7</v>
      </c>
      <c r="I178" s="6">
        <v>0</v>
      </c>
      <c r="J178" s="4">
        <v>-4.3099999999999996</v>
      </c>
      <c r="K178">
        <f>YEAR(B178)</f>
        <v>2022</v>
      </c>
      <c r="L178" t="str">
        <f>TEXT(B178,"mmm")</f>
        <v>Apr</v>
      </c>
      <c r="M178" s="6">
        <f>J178/G178</f>
        <v>-3.795584440745731E-3</v>
      </c>
      <c r="N178" s="8">
        <f t="shared" si="10"/>
        <v>997.62416666666684</v>
      </c>
      <c r="O178" s="8">
        <f t="shared" si="11"/>
        <v>997.52</v>
      </c>
      <c r="P178" s="9">
        <f t="shared" si="12"/>
        <v>540.96532576269237</v>
      </c>
      <c r="Q178">
        <f t="shared" si="13"/>
        <v>292643.4836775359</v>
      </c>
      <c r="R178" s="4">
        <f t="shared" si="14"/>
        <v>1769.22</v>
      </c>
    </row>
    <row r="179" spans="1:18" x14ac:dyDescent="0.3">
      <c r="A179" s="1" t="s">
        <v>59</v>
      </c>
      <c r="B179" s="3" t="s">
        <v>259</v>
      </c>
      <c r="C179" s="1" t="s">
        <v>400</v>
      </c>
      <c r="D179" s="1" t="s">
        <v>404</v>
      </c>
      <c r="E179" s="1" t="s">
        <v>406</v>
      </c>
      <c r="F179" s="1" t="s">
        <v>410</v>
      </c>
      <c r="G179" s="4">
        <v>103.92</v>
      </c>
      <c r="H179" s="5">
        <v>6</v>
      </c>
      <c r="I179" s="6">
        <v>0</v>
      </c>
      <c r="J179" s="4">
        <v>-5.15</v>
      </c>
      <c r="K179">
        <f>YEAR(B179)</f>
        <v>2022</v>
      </c>
      <c r="L179" t="str">
        <f>TEXT(B179,"mmm")</f>
        <v>Sep</v>
      </c>
      <c r="M179" s="6">
        <f>J179/G179</f>
        <v>-4.955735180908391E-2</v>
      </c>
      <c r="N179" s="8">
        <f t="shared" si="10"/>
        <v>991.62826086956545</v>
      </c>
      <c r="O179" s="8">
        <f t="shared" si="11"/>
        <v>902.18</v>
      </c>
      <c r="P179" s="9">
        <f t="shared" si="12"/>
        <v>552.30735988917161</v>
      </c>
      <c r="Q179">
        <f t="shared" si="13"/>
        <v>305043.41978774691</v>
      </c>
      <c r="R179" s="4">
        <f t="shared" si="14"/>
        <v>1769.22</v>
      </c>
    </row>
    <row r="180" spans="1:18" x14ac:dyDescent="0.3">
      <c r="A180" s="1" t="s">
        <v>135</v>
      </c>
      <c r="B180" s="3" t="s">
        <v>333</v>
      </c>
      <c r="C180" s="1" t="s">
        <v>400</v>
      </c>
      <c r="D180" s="1" t="s">
        <v>403</v>
      </c>
      <c r="E180" s="1" t="s">
        <v>406</v>
      </c>
      <c r="F180" s="1" t="s">
        <v>409</v>
      </c>
      <c r="G180" s="4">
        <v>126.53</v>
      </c>
      <c r="H180" s="5">
        <v>6</v>
      </c>
      <c r="I180" s="6">
        <v>0.2</v>
      </c>
      <c r="J180" s="4">
        <v>-6.27</v>
      </c>
      <c r="K180">
        <f>YEAR(B180)</f>
        <v>2021</v>
      </c>
      <c r="L180" t="str">
        <f>TEXT(B180,"mmm")</f>
        <v>Aug</v>
      </c>
      <c r="M180" s="6">
        <f>J180/G180</f>
        <v>-4.9553465581285067E-2</v>
      </c>
      <c r="N180" s="8">
        <f t="shared" si="10"/>
        <v>1031.9786363636367</v>
      </c>
      <c r="O180" s="8">
        <f t="shared" si="11"/>
        <v>997.52</v>
      </c>
      <c r="P180" s="9">
        <f t="shared" si="12"/>
        <v>529.47008176905285</v>
      </c>
      <c r="Q180">
        <f t="shared" si="13"/>
        <v>280338.56748852757</v>
      </c>
      <c r="R180" s="4">
        <f t="shared" si="14"/>
        <v>1746.6100000000001</v>
      </c>
    </row>
    <row r="181" spans="1:18" x14ac:dyDescent="0.3">
      <c r="A181" s="1" t="s">
        <v>75</v>
      </c>
      <c r="B181" s="3" t="s">
        <v>275</v>
      </c>
      <c r="C181" s="1" t="s">
        <v>400</v>
      </c>
      <c r="D181" s="1" t="s">
        <v>404</v>
      </c>
      <c r="E181" s="1" t="s">
        <v>405</v>
      </c>
      <c r="F181" s="1" t="s">
        <v>411</v>
      </c>
      <c r="G181" s="4">
        <v>1118.47</v>
      </c>
      <c r="H181" s="5">
        <v>5</v>
      </c>
      <c r="I181" s="6">
        <v>0.2</v>
      </c>
      <c r="J181" s="4">
        <v>-7.45</v>
      </c>
      <c r="K181">
        <f>YEAR(B181)</f>
        <v>2023</v>
      </c>
      <c r="L181" t="str">
        <f>TEXT(B181,"mmm")</f>
        <v>Mar</v>
      </c>
      <c r="M181" s="6">
        <f>J181/G181</f>
        <v>-6.6608849589170922E-3</v>
      </c>
      <c r="N181" s="8">
        <f t="shared" si="10"/>
        <v>1075.0952380952385</v>
      </c>
      <c r="O181" s="8">
        <f t="shared" si="11"/>
        <v>1092.8599999999999</v>
      </c>
      <c r="P181" s="9">
        <f t="shared" si="12"/>
        <v>501.40965367271275</v>
      </c>
      <c r="Q181">
        <f t="shared" si="13"/>
        <v>251411.64079618975</v>
      </c>
      <c r="R181" s="4">
        <f t="shared" si="14"/>
        <v>1550.97</v>
      </c>
    </row>
    <row r="182" spans="1:18" x14ac:dyDescent="0.3">
      <c r="A182" s="1" t="s">
        <v>124</v>
      </c>
      <c r="B182" s="3" t="s">
        <v>322</v>
      </c>
      <c r="C182" s="1" t="s">
        <v>399</v>
      </c>
      <c r="D182" s="1" t="s">
        <v>403</v>
      </c>
      <c r="E182" s="1" t="s">
        <v>406</v>
      </c>
      <c r="F182" s="1" t="s">
        <v>411</v>
      </c>
      <c r="G182" s="4">
        <v>1366.85</v>
      </c>
      <c r="H182" s="5">
        <v>1</v>
      </c>
      <c r="I182" s="6">
        <v>0.2</v>
      </c>
      <c r="J182" s="4">
        <v>-7.9</v>
      </c>
      <c r="K182">
        <f>YEAR(B182)</f>
        <v>2021</v>
      </c>
      <c r="L182" t="str">
        <f>TEXT(B182,"mmm")</f>
        <v>Dec</v>
      </c>
      <c r="M182" s="6">
        <f>J182/G182</f>
        <v>-5.7797124775944694E-3</v>
      </c>
      <c r="N182" s="8">
        <f t="shared" si="10"/>
        <v>1072.9265000000003</v>
      </c>
      <c r="O182" s="8">
        <f t="shared" si="11"/>
        <v>997.52</v>
      </c>
      <c r="P182" s="9">
        <f t="shared" si="12"/>
        <v>514.33438731171293</v>
      </c>
      <c r="Q182">
        <f t="shared" si="13"/>
        <v>264539.86197131517</v>
      </c>
      <c r="R182" s="4">
        <f t="shared" si="14"/>
        <v>1550.97</v>
      </c>
    </row>
    <row r="183" spans="1:18" x14ac:dyDescent="0.3">
      <c r="A183" s="1" t="s">
        <v>207</v>
      </c>
      <c r="B183" s="3" t="s">
        <v>397</v>
      </c>
      <c r="C183" s="1" t="s">
        <v>399</v>
      </c>
      <c r="D183" s="1" t="s">
        <v>403</v>
      </c>
      <c r="E183" s="1" t="s">
        <v>406</v>
      </c>
      <c r="F183" s="1" t="s">
        <v>410</v>
      </c>
      <c r="G183" s="4">
        <v>322.17</v>
      </c>
      <c r="H183" s="5">
        <v>2</v>
      </c>
      <c r="I183" s="6">
        <v>0.1</v>
      </c>
      <c r="J183" s="4">
        <v>-9.74</v>
      </c>
      <c r="K183">
        <f>YEAR(B183)</f>
        <v>2022</v>
      </c>
      <c r="L183" t="str">
        <f>TEXT(B183,"mmm")</f>
        <v>Nov</v>
      </c>
      <c r="M183" s="6">
        <f>J183/G183</f>
        <v>-3.023248595462023E-2</v>
      </c>
      <c r="N183" s="8">
        <f t="shared" si="10"/>
        <v>1057.4568421052631</v>
      </c>
      <c r="O183" s="8">
        <f t="shared" si="11"/>
        <v>902.18</v>
      </c>
      <c r="P183" s="9">
        <f t="shared" si="12"/>
        <v>523.62621621887502</v>
      </c>
      <c r="Q183">
        <f t="shared" si="13"/>
        <v>274184.41431169608</v>
      </c>
      <c r="R183" s="4">
        <f t="shared" si="14"/>
        <v>1550.97</v>
      </c>
    </row>
    <row r="184" spans="1:18" x14ac:dyDescent="0.3">
      <c r="A184" s="1" t="s">
        <v>209</v>
      </c>
      <c r="B184" s="3" t="s">
        <v>322</v>
      </c>
      <c r="C184" s="1" t="s">
        <v>400</v>
      </c>
      <c r="D184" s="1" t="s">
        <v>403</v>
      </c>
      <c r="E184" s="1" t="s">
        <v>405</v>
      </c>
      <c r="F184" s="1" t="s">
        <v>410</v>
      </c>
      <c r="G184" s="4">
        <v>1873.14</v>
      </c>
      <c r="H184" s="5">
        <v>5</v>
      </c>
      <c r="I184" s="6">
        <v>0</v>
      </c>
      <c r="J184" s="4">
        <v>-9.9</v>
      </c>
      <c r="K184">
        <f>YEAR(B184)</f>
        <v>2021</v>
      </c>
      <c r="L184" t="str">
        <f>TEXT(B184,"mmm")</f>
        <v>Dec</v>
      </c>
      <c r="M184" s="6">
        <f>J184/G184</f>
        <v>-5.285242961017329E-3</v>
      </c>
      <c r="N184" s="8">
        <f t="shared" si="10"/>
        <v>1098.3061111111112</v>
      </c>
      <c r="O184" s="8">
        <f t="shared" si="11"/>
        <v>997.52</v>
      </c>
      <c r="P184" s="9">
        <f t="shared" si="12"/>
        <v>506.69847092420554</v>
      </c>
      <c r="Q184">
        <f t="shared" si="13"/>
        <v>256743.34043692797</v>
      </c>
      <c r="R184" s="4">
        <f t="shared" si="14"/>
        <v>1490.9</v>
      </c>
    </row>
    <row r="185" spans="1:18" x14ac:dyDescent="0.3">
      <c r="A185" s="1" t="s">
        <v>14</v>
      </c>
      <c r="B185" s="3" t="s">
        <v>214</v>
      </c>
      <c r="C185" s="1" t="s">
        <v>401</v>
      </c>
      <c r="D185" s="1" t="s">
        <v>403</v>
      </c>
      <c r="E185" s="1" t="s">
        <v>407</v>
      </c>
      <c r="F185" s="1" t="s">
        <v>409</v>
      </c>
      <c r="G185" s="4">
        <v>743.13</v>
      </c>
      <c r="H185" s="5">
        <v>5</v>
      </c>
      <c r="I185" s="6">
        <v>0</v>
      </c>
      <c r="J185" s="4">
        <v>-12.25</v>
      </c>
      <c r="K185">
        <f>YEAR(B185)</f>
        <v>2023</v>
      </c>
      <c r="L185" t="str">
        <f>TEXT(B185,"mmm")</f>
        <v>Aug</v>
      </c>
      <c r="M185" s="6">
        <f>J185/G185</f>
        <v>-1.6484329794248652E-2</v>
      </c>
      <c r="N185" s="8">
        <f t="shared" si="10"/>
        <v>1052.7276470588235</v>
      </c>
      <c r="O185" s="8">
        <f t="shared" si="11"/>
        <v>902.18</v>
      </c>
      <c r="P185" s="9">
        <f t="shared" si="12"/>
        <v>482.76246057882105</v>
      </c>
      <c r="Q185">
        <f t="shared" si="13"/>
        <v>233059.59334411775</v>
      </c>
      <c r="R185" s="4">
        <f t="shared" si="14"/>
        <v>1474.05</v>
      </c>
    </row>
    <row r="186" spans="1:18" x14ac:dyDescent="0.3">
      <c r="A186" s="1" t="s">
        <v>122</v>
      </c>
      <c r="B186" s="3" t="s">
        <v>320</v>
      </c>
      <c r="C186" s="1" t="s">
        <v>399</v>
      </c>
      <c r="D186" s="1" t="s">
        <v>404</v>
      </c>
      <c r="E186" s="1" t="s">
        <v>407</v>
      </c>
      <c r="F186" s="1" t="s">
        <v>409</v>
      </c>
      <c r="G186" s="4">
        <v>743.69</v>
      </c>
      <c r="H186" s="5">
        <v>3</v>
      </c>
      <c r="I186" s="6">
        <v>0.2</v>
      </c>
      <c r="J186" s="4">
        <v>-12.97</v>
      </c>
      <c r="K186">
        <f>YEAR(B186)</f>
        <v>2020</v>
      </c>
      <c r="L186" t="str">
        <f>TEXT(B186,"mmm")</f>
        <v>Dec</v>
      </c>
      <c r="M186" s="6">
        <f>J186/G186</f>
        <v>-1.7440062391587893E-2</v>
      </c>
      <c r="N186" s="8">
        <f t="shared" si="10"/>
        <v>1072.0775000000001</v>
      </c>
      <c r="O186" s="8">
        <f t="shared" si="11"/>
        <v>997.52</v>
      </c>
      <c r="P186" s="9">
        <f t="shared" si="12"/>
        <v>491.73923452035677</v>
      </c>
      <c r="Q186">
        <f t="shared" si="13"/>
        <v>241807.47476666645</v>
      </c>
      <c r="R186" s="4">
        <f t="shared" si="14"/>
        <v>1474.05</v>
      </c>
    </row>
    <row r="187" spans="1:18" x14ac:dyDescent="0.3">
      <c r="A187" s="1" t="s">
        <v>192</v>
      </c>
      <c r="B187" s="3" t="s">
        <v>371</v>
      </c>
      <c r="C187" s="1" t="s">
        <v>399</v>
      </c>
      <c r="D187" s="1" t="s">
        <v>404</v>
      </c>
      <c r="E187" s="1" t="s">
        <v>407</v>
      </c>
      <c r="F187" s="1" t="s">
        <v>409</v>
      </c>
      <c r="G187" s="4">
        <v>576.39</v>
      </c>
      <c r="H187" s="5">
        <v>5</v>
      </c>
      <c r="I187" s="6">
        <v>0</v>
      </c>
      <c r="J187" s="4">
        <v>-14.18</v>
      </c>
      <c r="K187">
        <f>YEAR(B187)</f>
        <v>2022</v>
      </c>
      <c r="L187" t="str">
        <f>TEXT(B187,"mmm")</f>
        <v>Jan</v>
      </c>
      <c r="M187" s="6">
        <f>J187/G187</f>
        <v>-2.4601398358750151E-2</v>
      </c>
      <c r="N187" s="8">
        <f t="shared" si="10"/>
        <v>1093.97</v>
      </c>
      <c r="O187" s="8">
        <f t="shared" si="11"/>
        <v>1092.8599999999999</v>
      </c>
      <c r="P187" s="9">
        <f t="shared" si="12"/>
        <v>500.8624382003506</v>
      </c>
      <c r="Q187">
        <f t="shared" si="13"/>
        <v>250863.18200000003</v>
      </c>
      <c r="R187" s="4">
        <f t="shared" si="14"/>
        <v>1474.05</v>
      </c>
    </row>
    <row r="188" spans="1:18" x14ac:dyDescent="0.3">
      <c r="A188" s="1" t="s">
        <v>187</v>
      </c>
      <c r="B188" s="3" t="s">
        <v>380</v>
      </c>
      <c r="C188" s="1" t="s">
        <v>401</v>
      </c>
      <c r="D188" s="1" t="s">
        <v>404</v>
      </c>
      <c r="E188" s="1" t="s">
        <v>407</v>
      </c>
      <c r="F188" s="1" t="s">
        <v>409</v>
      </c>
      <c r="G188" s="4">
        <v>382.24</v>
      </c>
      <c r="H188" s="5">
        <v>10</v>
      </c>
      <c r="I188" s="6">
        <v>0.3</v>
      </c>
      <c r="J188" s="4">
        <v>-15.83</v>
      </c>
      <c r="K188">
        <f>YEAR(B188)</f>
        <v>2021</v>
      </c>
      <c r="L188" t="str">
        <f>TEXT(B188,"mmm")</f>
        <v>Apr</v>
      </c>
      <c r="M188" s="6">
        <f>J188/G188</f>
        <v>-4.1413771452490582E-2</v>
      </c>
      <c r="N188" s="8">
        <f t="shared" si="10"/>
        <v>1130.94</v>
      </c>
      <c r="O188" s="8">
        <f t="shared" si="11"/>
        <v>1100.82</v>
      </c>
      <c r="P188" s="9">
        <f t="shared" si="12"/>
        <v>498.07788694293436</v>
      </c>
      <c r="Q188">
        <f t="shared" si="13"/>
        <v>248081.5814615385</v>
      </c>
      <c r="R188" s="4">
        <f t="shared" si="14"/>
        <v>1474.05</v>
      </c>
    </row>
    <row r="189" spans="1:18" x14ac:dyDescent="0.3">
      <c r="A189" s="1" t="s">
        <v>194</v>
      </c>
      <c r="B189" s="3" t="s">
        <v>385</v>
      </c>
      <c r="C189" s="1" t="s">
        <v>398</v>
      </c>
      <c r="D189" s="1" t="s">
        <v>403</v>
      </c>
      <c r="E189" s="1" t="s">
        <v>408</v>
      </c>
      <c r="F189" s="1" t="s">
        <v>411</v>
      </c>
      <c r="G189" s="4">
        <v>1108.78</v>
      </c>
      <c r="H189" s="5">
        <v>3</v>
      </c>
      <c r="I189" s="6">
        <v>0.2</v>
      </c>
      <c r="J189" s="4">
        <v>-15.92</v>
      </c>
      <c r="K189">
        <f>YEAR(B189)</f>
        <v>2021</v>
      </c>
      <c r="L189" t="str">
        <f>TEXT(B189,"mmm")</f>
        <v>Jul</v>
      </c>
      <c r="M189" s="6">
        <f>J189/G189</f>
        <v>-1.4358123342773138E-2</v>
      </c>
      <c r="N189" s="8">
        <f t="shared" si="10"/>
        <v>1188.5323076923075</v>
      </c>
      <c r="O189" s="8">
        <f t="shared" si="11"/>
        <v>1108.78</v>
      </c>
      <c r="P189" s="9">
        <f t="shared" si="12"/>
        <v>467.38541449846076</v>
      </c>
      <c r="Q189">
        <f t="shared" si="13"/>
        <v>218449.12568589798</v>
      </c>
      <c r="R189" s="4">
        <f t="shared" si="14"/>
        <v>1363.55</v>
      </c>
    </row>
    <row r="190" spans="1:18" x14ac:dyDescent="0.3">
      <c r="A190" s="1" t="s">
        <v>87</v>
      </c>
      <c r="B190" s="3" t="s">
        <v>287</v>
      </c>
      <c r="C190" s="1" t="s">
        <v>398</v>
      </c>
      <c r="D190" s="1" t="s">
        <v>404</v>
      </c>
      <c r="E190" s="1" t="s">
        <v>407</v>
      </c>
      <c r="F190" s="1" t="s">
        <v>410</v>
      </c>
      <c r="G190" s="4">
        <v>902.18</v>
      </c>
      <c r="H190" s="5">
        <v>9</v>
      </c>
      <c r="I190" s="6">
        <v>0</v>
      </c>
      <c r="J190" s="4">
        <v>-19.37</v>
      </c>
      <c r="K190">
        <f>YEAR(B190)</f>
        <v>2020</v>
      </c>
      <c r="L190" t="str">
        <f>TEXT(B190,"mmm")</f>
        <v>Jun</v>
      </c>
      <c r="M190" s="6">
        <f>J190/G190</f>
        <v>-2.1470216586490502E-2</v>
      </c>
      <c r="N190" s="8">
        <f t="shared" si="10"/>
        <v>1195.1783333333333</v>
      </c>
      <c r="O190" s="8">
        <f t="shared" si="11"/>
        <v>1232.8699999999999</v>
      </c>
      <c r="P190" s="9">
        <f t="shared" si="12"/>
        <v>487.52613372997479</v>
      </c>
      <c r="Q190">
        <f t="shared" si="13"/>
        <v>237681.73106969724</v>
      </c>
      <c r="R190" s="4">
        <f t="shared" si="14"/>
        <v>1363.55</v>
      </c>
    </row>
    <row r="191" spans="1:18" x14ac:dyDescent="0.3">
      <c r="A191" s="1" t="s">
        <v>130</v>
      </c>
      <c r="B191" s="3" t="s">
        <v>328</v>
      </c>
      <c r="C191" s="1" t="s">
        <v>399</v>
      </c>
      <c r="D191" s="1" t="s">
        <v>402</v>
      </c>
      <c r="E191" s="1" t="s">
        <v>405</v>
      </c>
      <c r="F191" s="1" t="s">
        <v>410</v>
      </c>
      <c r="G191" s="4">
        <v>757.61</v>
      </c>
      <c r="H191" s="5">
        <v>10</v>
      </c>
      <c r="I191" s="6">
        <v>0.3</v>
      </c>
      <c r="J191" s="4">
        <v>-20.170000000000002</v>
      </c>
      <c r="K191">
        <f>YEAR(B191)</f>
        <v>2021</v>
      </c>
      <c r="L191" t="str">
        <f>TEXT(B191,"mmm")</f>
        <v>Apr</v>
      </c>
      <c r="M191" s="6">
        <f>J191/G191</f>
        <v>-2.6623196631512257E-2</v>
      </c>
      <c r="N191" s="8">
        <f t="shared" si="10"/>
        <v>1221.8145454545454</v>
      </c>
      <c r="O191" s="8">
        <f t="shared" si="11"/>
        <v>1372.88</v>
      </c>
      <c r="P191" s="9">
        <f t="shared" si="12"/>
        <v>502.08033746331142</v>
      </c>
      <c r="Q191">
        <f t="shared" si="13"/>
        <v>252084.66526727268</v>
      </c>
      <c r="R191" s="4">
        <f t="shared" si="14"/>
        <v>1363.55</v>
      </c>
    </row>
    <row r="192" spans="1:18" x14ac:dyDescent="0.3">
      <c r="A192" s="1" t="s">
        <v>40</v>
      </c>
      <c r="B192" s="3" t="s">
        <v>240</v>
      </c>
      <c r="C192" s="1" t="s">
        <v>399</v>
      </c>
      <c r="D192" s="1" t="s">
        <v>403</v>
      </c>
      <c r="E192" s="1" t="s">
        <v>407</v>
      </c>
      <c r="F192" s="1" t="s">
        <v>410</v>
      </c>
      <c r="G192" s="4">
        <v>572.11</v>
      </c>
      <c r="H192" s="5">
        <v>5</v>
      </c>
      <c r="I192" s="6">
        <v>0.1</v>
      </c>
      <c r="J192" s="4">
        <v>-20.5</v>
      </c>
      <c r="K192">
        <f>YEAR(B192)</f>
        <v>2021</v>
      </c>
      <c r="L192" t="str">
        <f>TEXT(B192,"mmm")</f>
        <v>Apr</v>
      </c>
      <c r="M192" s="6">
        <f>J192/G192</f>
        <v>-3.5832270018003529E-2</v>
      </c>
      <c r="N192" s="8">
        <f t="shared" si="10"/>
        <v>1268.2350000000001</v>
      </c>
      <c r="O192" s="8">
        <f t="shared" si="11"/>
        <v>1412.5100000000002</v>
      </c>
      <c r="P192" s="9">
        <f t="shared" si="12"/>
        <v>503.74290253064589</v>
      </c>
      <c r="Q192">
        <f t="shared" si="13"/>
        <v>253756.9118499998</v>
      </c>
      <c r="R192" s="4">
        <f t="shared" si="14"/>
        <v>1363.55</v>
      </c>
    </row>
    <row r="193" spans="1:18" x14ac:dyDescent="0.3">
      <c r="A193" s="1" t="s">
        <v>65</v>
      </c>
      <c r="B193" s="3" t="s">
        <v>265</v>
      </c>
      <c r="C193" s="1" t="s">
        <v>400</v>
      </c>
      <c r="D193" s="1" t="s">
        <v>404</v>
      </c>
      <c r="E193" s="1" t="s">
        <v>405</v>
      </c>
      <c r="F193" s="1" t="s">
        <v>409</v>
      </c>
      <c r="G193" s="4">
        <v>1452.14</v>
      </c>
      <c r="H193" s="5">
        <v>10</v>
      </c>
      <c r="I193" s="6">
        <v>0.2</v>
      </c>
      <c r="J193" s="4">
        <v>-21.98</v>
      </c>
      <c r="K193">
        <f>YEAR(B193)</f>
        <v>2022</v>
      </c>
      <c r="L193" t="str">
        <f>TEXT(B193,"mmm")</f>
        <v>Mar</v>
      </c>
      <c r="M193" s="6">
        <f>J193/G193</f>
        <v>-1.5136281625738565E-2</v>
      </c>
      <c r="N193" s="8">
        <f t="shared" si="10"/>
        <v>1345.5822222222223</v>
      </c>
      <c r="O193" s="8">
        <f t="shared" si="11"/>
        <v>1452.14</v>
      </c>
      <c r="P193" s="9">
        <f t="shared" si="12"/>
        <v>467.08923879109466</v>
      </c>
      <c r="Q193">
        <f t="shared" si="13"/>
        <v>218172.35699444427</v>
      </c>
      <c r="R193" s="4">
        <f t="shared" si="14"/>
        <v>1363.55</v>
      </c>
    </row>
    <row r="194" spans="1:18" x14ac:dyDescent="0.3">
      <c r="A194" s="1" t="s">
        <v>110</v>
      </c>
      <c r="B194" s="3" t="s">
        <v>309</v>
      </c>
      <c r="C194" s="1" t="s">
        <v>400</v>
      </c>
      <c r="D194" s="1" t="s">
        <v>404</v>
      </c>
      <c r="E194" s="1" t="s">
        <v>407</v>
      </c>
      <c r="F194" s="1" t="s">
        <v>409</v>
      </c>
      <c r="G194" s="4">
        <v>812.94</v>
      </c>
      <c r="H194" s="5">
        <v>7</v>
      </c>
      <c r="I194" s="6">
        <v>0.3</v>
      </c>
      <c r="J194" s="4">
        <v>-22.72</v>
      </c>
      <c r="K194">
        <f>YEAR(B194)</f>
        <v>2021</v>
      </c>
      <c r="L194" t="str">
        <f>TEXT(B194,"mmm")</f>
        <v>Jan</v>
      </c>
      <c r="M194" s="6">
        <f>J194/G194</f>
        <v>-2.7947942037542743E-2</v>
      </c>
      <c r="N194" s="8">
        <f t="shared" si="10"/>
        <v>1332.2625</v>
      </c>
      <c r="O194" s="8">
        <f t="shared" si="11"/>
        <v>1424.2350000000001</v>
      </c>
      <c r="P194" s="9">
        <f t="shared" si="12"/>
        <v>497.5087904392098</v>
      </c>
      <c r="Q194">
        <f t="shared" si="13"/>
        <v>247514.99656428557</v>
      </c>
      <c r="R194" s="4">
        <f t="shared" si="14"/>
        <v>1363.55</v>
      </c>
    </row>
    <row r="195" spans="1:18" x14ac:dyDescent="0.3">
      <c r="A195" s="1" t="s">
        <v>195</v>
      </c>
      <c r="B195" s="3" t="s">
        <v>386</v>
      </c>
      <c r="C195" s="1" t="s">
        <v>401</v>
      </c>
      <c r="D195" s="1" t="s">
        <v>402</v>
      </c>
      <c r="E195" s="1" t="s">
        <v>405</v>
      </c>
      <c r="F195" s="1" t="s">
        <v>409</v>
      </c>
      <c r="G195" s="4">
        <v>492.74</v>
      </c>
      <c r="H195" s="5">
        <v>4</v>
      </c>
      <c r="I195" s="6">
        <v>0.1</v>
      </c>
      <c r="J195" s="4">
        <v>-23.72</v>
      </c>
      <c r="K195">
        <f>YEAR(B195)</f>
        <v>2021</v>
      </c>
      <c r="L195" t="str">
        <f>TEXT(B195,"mmm")</f>
        <v>Aug</v>
      </c>
      <c r="M195" s="6">
        <f>J195/G195</f>
        <v>-4.8138977959978888E-2</v>
      </c>
      <c r="N195" s="8">
        <f t="shared" ref="N195:N201" si="15">AVERAGE(G195:G394)</f>
        <v>1406.4514285714286</v>
      </c>
      <c r="O195" s="8">
        <f t="shared" ref="O195:O201" si="16">MEDIAN(G195:G394)</f>
        <v>1475.59</v>
      </c>
      <c r="P195" s="9">
        <f t="shared" ref="P195:P201" si="17">_xlfn.STDEV.S(G195:G394)</f>
        <v>487.23388242296147</v>
      </c>
      <c r="Q195">
        <f t="shared" ref="Q195:Q201" si="18">_xlfn.VAR.S(G195:G394)</f>
        <v>237396.85618095225</v>
      </c>
      <c r="R195" s="4">
        <f t="shared" ref="R195:R201" si="19">MAX(G195:G394)-MIN(G195:G394)</f>
        <v>1363.55</v>
      </c>
    </row>
    <row r="196" spans="1:18" x14ac:dyDescent="0.3">
      <c r="A196" s="1" t="s">
        <v>174</v>
      </c>
      <c r="B196" s="3" t="s">
        <v>370</v>
      </c>
      <c r="C196" s="1" t="s">
        <v>398</v>
      </c>
      <c r="D196" s="1" t="s">
        <v>402</v>
      </c>
      <c r="E196" s="1" t="s">
        <v>405</v>
      </c>
      <c r="F196" s="1" t="s">
        <v>410</v>
      </c>
      <c r="G196" s="4">
        <v>1856.29</v>
      </c>
      <c r="H196" s="5">
        <v>3</v>
      </c>
      <c r="I196" s="6">
        <v>0.2</v>
      </c>
      <c r="J196" s="4">
        <v>-26.24</v>
      </c>
      <c r="K196">
        <f>YEAR(B196)</f>
        <v>2022</v>
      </c>
      <c r="L196" t="str">
        <f>TEXT(B196,"mmm")</f>
        <v>Jun</v>
      </c>
      <c r="M196" s="6">
        <f>J196/G196</f>
        <v>-1.4135722327869029E-2</v>
      </c>
      <c r="N196" s="8">
        <f t="shared" si="15"/>
        <v>1558.7366666666667</v>
      </c>
      <c r="O196" s="8">
        <f t="shared" si="16"/>
        <v>1595.46</v>
      </c>
      <c r="P196" s="9">
        <f t="shared" si="17"/>
        <v>300.1225749367531</v>
      </c>
      <c r="Q196">
        <f t="shared" si="18"/>
        <v>90073.559986666965</v>
      </c>
      <c r="R196" s="4">
        <f t="shared" si="19"/>
        <v>763.43000000000006</v>
      </c>
    </row>
    <row r="197" spans="1:18" x14ac:dyDescent="0.3">
      <c r="A197" s="1" t="s">
        <v>146</v>
      </c>
      <c r="B197" s="3" t="s">
        <v>344</v>
      </c>
      <c r="C197" s="1" t="s">
        <v>401</v>
      </c>
      <c r="D197" s="1" t="s">
        <v>403</v>
      </c>
      <c r="E197" s="1" t="s">
        <v>408</v>
      </c>
      <c r="F197" s="1" t="s">
        <v>411</v>
      </c>
      <c r="G197" s="4">
        <v>1475.59</v>
      </c>
      <c r="H197" s="5">
        <v>2</v>
      </c>
      <c r="I197" s="6">
        <v>0</v>
      </c>
      <c r="J197" s="4">
        <v>-34.76</v>
      </c>
      <c r="K197">
        <f>YEAR(B197)</f>
        <v>2022</v>
      </c>
      <c r="L197" t="str">
        <f>TEXT(B197,"mmm")</f>
        <v>Oct</v>
      </c>
      <c r="M197" s="6">
        <f>J197/G197</f>
        <v>-2.3556679023305931E-2</v>
      </c>
      <c r="N197" s="8">
        <f t="shared" si="15"/>
        <v>1499.2260000000001</v>
      </c>
      <c r="O197" s="8">
        <f t="shared" si="16"/>
        <v>1475.59</v>
      </c>
      <c r="P197" s="9">
        <f t="shared" si="17"/>
        <v>293.30965570536472</v>
      </c>
      <c r="Q197">
        <f t="shared" si="18"/>
        <v>86030.554129999597</v>
      </c>
      <c r="R197" s="4">
        <f t="shared" si="19"/>
        <v>746.61000000000013</v>
      </c>
    </row>
    <row r="198" spans="1:18" x14ac:dyDescent="0.3">
      <c r="A198" s="1" t="s">
        <v>161</v>
      </c>
      <c r="B198" s="3" t="s">
        <v>357</v>
      </c>
      <c r="C198" s="1" t="s">
        <v>399</v>
      </c>
      <c r="D198" s="1" t="s">
        <v>404</v>
      </c>
      <c r="E198" s="1" t="s">
        <v>408</v>
      </c>
      <c r="F198" s="1" t="s">
        <v>409</v>
      </c>
      <c r="G198" s="4">
        <v>1372.88</v>
      </c>
      <c r="H198" s="5">
        <v>10</v>
      </c>
      <c r="I198" s="6">
        <v>0.3</v>
      </c>
      <c r="J198" s="4">
        <v>-36.64</v>
      </c>
      <c r="K198">
        <f>YEAR(B198)</f>
        <v>2021</v>
      </c>
      <c r="L198" t="str">
        <f>TEXT(B198,"mmm")</f>
        <v>Jun</v>
      </c>
      <c r="M198" s="6">
        <f>J198/G198</f>
        <v>-2.668842142066313E-2</v>
      </c>
      <c r="N198" s="8">
        <f t="shared" si="15"/>
        <v>1505.135</v>
      </c>
      <c r="O198" s="8">
        <f t="shared" si="16"/>
        <v>1544.105</v>
      </c>
      <c r="P198" s="9">
        <f t="shared" si="17"/>
        <v>338.3409970724806</v>
      </c>
      <c r="Q198">
        <f t="shared" si="18"/>
        <v>114474.63030000031</v>
      </c>
      <c r="R198" s="4">
        <f t="shared" si="19"/>
        <v>746.61000000000013</v>
      </c>
    </row>
    <row r="199" spans="1:18" x14ac:dyDescent="0.3">
      <c r="A199" s="1" t="s">
        <v>50</v>
      </c>
      <c r="B199" s="3" t="s">
        <v>250</v>
      </c>
      <c r="C199" s="1" t="s">
        <v>401</v>
      </c>
      <c r="D199" s="1" t="s">
        <v>403</v>
      </c>
      <c r="E199" s="1" t="s">
        <v>407</v>
      </c>
      <c r="F199" s="1" t="s">
        <v>410</v>
      </c>
      <c r="G199" s="4">
        <v>1715.33</v>
      </c>
      <c r="H199" s="5">
        <v>3</v>
      </c>
      <c r="I199" s="6">
        <v>0.1</v>
      </c>
      <c r="J199" s="4">
        <v>-39.18</v>
      </c>
      <c r="K199">
        <f>YEAR(B199)</f>
        <v>2020</v>
      </c>
      <c r="L199" t="str">
        <f>TEXT(B199,"mmm")</f>
        <v>Dec</v>
      </c>
      <c r="M199" s="6">
        <f>J199/G199</f>
        <v>-2.2841085971795516E-2</v>
      </c>
      <c r="N199" s="8">
        <f t="shared" si="15"/>
        <v>1549.22</v>
      </c>
      <c r="O199" s="8">
        <f t="shared" si="16"/>
        <v>1715.33</v>
      </c>
      <c r="P199" s="9">
        <f t="shared" si="17"/>
        <v>400.06377254132894</v>
      </c>
      <c r="Q199">
        <f t="shared" si="18"/>
        <v>160051.02210000018</v>
      </c>
      <c r="R199" s="4">
        <f t="shared" si="19"/>
        <v>746.61000000000013</v>
      </c>
    </row>
    <row r="200" spans="1:18" x14ac:dyDescent="0.3">
      <c r="A200" s="1" t="s">
        <v>151</v>
      </c>
      <c r="B200" s="3" t="s">
        <v>348</v>
      </c>
      <c r="C200" s="1" t="s">
        <v>401</v>
      </c>
      <c r="D200" s="1" t="s">
        <v>404</v>
      </c>
      <c r="E200" s="1" t="s">
        <v>407</v>
      </c>
      <c r="F200" s="1" t="s">
        <v>411</v>
      </c>
      <c r="G200" s="4">
        <v>1092.8599999999999</v>
      </c>
      <c r="H200" s="5">
        <v>10</v>
      </c>
      <c r="I200" s="6">
        <v>0</v>
      </c>
      <c r="J200" s="4">
        <v>-41.05</v>
      </c>
      <c r="K200">
        <f>YEAR(B200)</f>
        <v>2023</v>
      </c>
      <c r="L200" t="str">
        <f>TEXT(B200,"mmm")</f>
        <v>May</v>
      </c>
      <c r="M200" s="6">
        <f>J200/G200</f>
        <v>-3.7561993301978298E-2</v>
      </c>
      <c r="N200" s="8">
        <f t="shared" si="15"/>
        <v>1466.165</v>
      </c>
      <c r="O200" s="8">
        <f t="shared" si="16"/>
        <v>1466.165</v>
      </c>
      <c r="P200" s="9">
        <f t="shared" si="17"/>
        <v>527.93299390168841</v>
      </c>
      <c r="Q200">
        <f t="shared" si="18"/>
        <v>278713.24605000019</v>
      </c>
      <c r="R200" s="4">
        <f t="shared" si="19"/>
        <v>746.61000000000013</v>
      </c>
    </row>
    <row r="201" spans="1:18" x14ac:dyDescent="0.3">
      <c r="A201" s="1" t="s">
        <v>99</v>
      </c>
      <c r="B201" s="3" t="s">
        <v>298</v>
      </c>
      <c r="C201" s="1" t="s">
        <v>398</v>
      </c>
      <c r="D201" s="1" t="s">
        <v>404</v>
      </c>
      <c r="E201" s="1" t="s">
        <v>405</v>
      </c>
      <c r="F201" s="1" t="s">
        <v>410</v>
      </c>
      <c r="G201" s="4">
        <v>1839.47</v>
      </c>
      <c r="H201" s="5">
        <v>6</v>
      </c>
      <c r="I201" s="6">
        <v>0.1</v>
      </c>
      <c r="J201" s="4">
        <v>-71.59</v>
      </c>
      <c r="K201">
        <f>YEAR(B201)</f>
        <v>2020</v>
      </c>
      <c r="L201" t="str">
        <f>TEXT(B201,"mmm")</f>
        <v>Oct</v>
      </c>
      <c r="M201" s="6">
        <f>J201/G201</f>
        <v>-3.8918819007648944E-2</v>
      </c>
      <c r="N201" s="8">
        <f t="shared" si="15"/>
        <v>1839.47</v>
      </c>
      <c r="O201" s="8">
        <f t="shared" si="16"/>
        <v>1839.47</v>
      </c>
      <c r="P201" s="9" t="e">
        <f t="shared" si="17"/>
        <v>#DIV/0!</v>
      </c>
      <c r="Q201" t="e">
        <f t="shared" si="18"/>
        <v>#DIV/0!</v>
      </c>
      <c r="R201" s="4">
        <f t="shared" si="19"/>
        <v>0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Statistics</vt:lpstr>
      <vt:lpstr>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teamkilla none</dc:creator>
  <cp:lastModifiedBy>caleb mccombs</cp:lastModifiedBy>
  <dcterms:created xsi:type="dcterms:W3CDTF">2025-11-22T11:20:14Z</dcterms:created>
  <dcterms:modified xsi:type="dcterms:W3CDTF">2025-11-22T12:34:21Z</dcterms:modified>
</cp:coreProperties>
</file>